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  <sheet state="visible" name="Chart Dat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9">
      <text>
        <t xml:space="preserve">Responder updated this value.</t>
      </text>
    </comment>
    <comment authorId="0" ref="B135">
      <text>
        <t xml:space="preserve">Responder updated this value.</t>
      </text>
    </comment>
    <comment authorId="0" ref="C135">
      <text>
        <t xml:space="preserve">Responder updated this value.</t>
      </text>
    </comment>
    <comment authorId="0" ref="D135">
      <text>
        <t xml:space="preserve">Responder updated this value.</t>
      </text>
    </comment>
    <comment authorId="0" ref="E135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<sst xmlns="http://schemas.openxmlformats.org/spreadsheetml/2006/main" count="4689" uniqueCount="677">
  <si>
    <t>Timestamp</t>
  </si>
  <si>
    <t>Please enter your name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</si>
  <si>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In the last 3 months, how many times did you need someone to help you with something and struggle to find the right person? </t>
    </r>
  </si>
  <si>
    <r>
      <rPr>
        <rFont val="Arial"/>
        <b/>
        <color theme="1"/>
      </rPr>
      <t>2.</t>
    </r>
    <r>
      <rPr>
        <rFont val="Arial"/>
        <color theme="1"/>
      </rPr>
      <t xml:space="preserve"> Which of these have you needed help with in the last 6 months?   </t>
    </r>
  </si>
  <si>
    <r>
      <rPr>
        <rFont val="Arial"/>
        <b/>
        <color theme="1"/>
      </rPr>
      <t>3.</t>
    </r>
    <r>
      <rPr>
        <rFont val="Arial"/>
        <color theme="1"/>
      </rPr>
      <t xml:space="preserve"> When you needed help, how did you try to find someone?  </t>
    </r>
  </si>
  <si>
    <r>
      <rPr>
        <rFont val="Arial"/>
        <b/>
        <color theme="1"/>
      </rPr>
      <t>4.</t>
    </r>
    <r>
      <rPr>
        <rFont val="Arial"/>
        <color theme="1"/>
      </rPr>
      <t xml:space="preserve"> Of the times you posted a request in a WhatsApp or Instagram group, how often did you get a genuinely useful response?  </t>
    </r>
  </si>
  <si>
    <r>
      <rPr>
        <rFont val="Arial"/>
        <b/>
        <color theme="1"/>
      </rPr>
      <t>5.</t>
    </r>
    <r>
      <rPr>
        <rFont val="Arial"/>
        <color theme="1"/>
      </rPr>
      <t xml:space="preserve"> Have you ever bought something new, or paid a bigger company, mainly because it was easier than finding someone nearby who could do it?</t>
    </r>
  </si>
  <si>
    <r>
      <rPr>
        <rFont val="Arial"/>
        <b/>
        <color theme="1"/>
      </rPr>
      <t>6.</t>
    </r>
    <r>
      <rPr>
        <rFont val="Arial"/>
        <color theme="1"/>
      </rPr>
      <t xml:space="preserve"> Which of these could you do well enough that someone might pay you for it?  </t>
    </r>
  </si>
  <si>
    <r>
      <rPr>
        <rFont val="Arial"/>
        <b/>
        <color theme="1"/>
      </rPr>
      <t>7.</t>
    </r>
    <r>
      <rPr>
        <rFont val="Arial"/>
        <color theme="1"/>
      </rPr>
      <t xml:space="preserve"> Have you ever wanted to earn from a skill you have, but didn't know how to find people who'd pay for it?  </t>
    </r>
  </si>
  <si>
    <r>
      <rPr>
        <rFont val="Arial"/>
        <b/>
        <color theme="1"/>
      </rPr>
      <t>8.</t>
    </r>
    <r>
      <rPr>
        <rFont val="Arial"/>
        <color theme="1"/>
      </rPr>
      <t xml:space="preserve"> What's the main thing stopping you from earning from your skills?  </t>
    </r>
  </si>
  <si>
    <r>
      <rPr>
        <rFont val="Arial"/>
        <b/>
        <color theme="1"/>
      </rPr>
      <t>9.</t>
    </r>
    <r>
      <rPr>
        <rFont val="Arial"/>
        <color theme="1"/>
      </rPr>
      <t xml:space="preserve"> If someone offered you ₹100–500 for a small task you're already good at, how likely would you be to take it?  </t>
    </r>
  </si>
  <si>
    <r>
      <rPr>
        <rFont val="Arial"/>
        <b/>
        <color theme="1"/>
      </rPr>
      <t>10.</t>
    </r>
    <r>
      <rPr>
        <rFont val="Arial"/>
        <color theme="1"/>
      </rPr>
      <t xml:space="preserve"> Would you be more comfortable paying for a service from your fellow college student than from a stranger online?  </t>
    </r>
  </si>
  <si>
    <r>
      <rPr>
        <rFont val="Arial"/>
        <b/>
        <color theme="1"/>
      </rPr>
      <t>11.</t>
    </r>
    <r>
      <rPr>
        <rFont val="Arial"/>
        <color theme="1"/>
      </rPr>
      <t xml:space="preserve"> How many times in the last month did you skip doing something you wanted to do because you had no one to do it with?  </t>
    </r>
  </si>
  <si>
    <r>
      <rPr>
        <rFont val="Arial"/>
        <b/>
        <color theme="1"/>
      </rPr>
      <t>12.</t>
    </r>
    <r>
      <rPr>
        <rFont val="Arial"/>
        <color theme="1"/>
      </rPr>
      <t xml:space="preserve"> Which of these have you wanted to find someone for, but couldn't?  </t>
    </r>
  </si>
  <si>
    <r>
      <rPr>
        <rFont val="Arial"/>
        <b/>
        <color theme="1"/>
      </rPr>
      <t>13.</t>
    </r>
    <r>
      <rPr>
        <rFont val="Arial"/>
        <color theme="1"/>
      </rPr>
      <t xml:space="preserve"> Have you ever thrown away, or kept unused, something that still worked, simply because you couldn't find anyone to sell or give it to?  </t>
    </r>
  </si>
  <si>
    <r>
      <rPr>
        <rFont val="Arial"/>
        <b/>
        <color theme="1"/>
      </rPr>
      <t xml:space="preserve">14. </t>
    </r>
    <r>
      <rPr>
        <rFont val="Arial"/>
        <color theme="1"/>
      </rPr>
      <t xml:space="preserve">Gender </t>
    </r>
  </si>
  <si>
    <r>
      <rPr>
        <rFont val="Arial"/>
        <b/>
        <color theme="1"/>
      </rPr>
      <t xml:space="preserve">15. </t>
    </r>
    <r>
      <rPr>
        <rFont val="Arial"/>
        <color theme="1"/>
      </rPr>
      <t>Age</t>
    </r>
  </si>
  <si>
    <t>Column 17</t>
  </si>
  <si>
    <t>6-9</t>
  </si>
  <si>
    <t>Assignment or project help, Learning a skill (coding, design, language, instrument), Buying something secondhand, Event or club help</t>
  </si>
  <si>
    <t>Gave up and did it myself</t>
  </si>
  <si>
    <t>I've never posted one</t>
  </si>
  <si>
    <t>Yes , multiple times</t>
  </si>
  <si>
    <t>Tutoring, Coding, Writing, Notes, Therapy</t>
  </si>
  <si>
    <t>Yes, Often</t>
  </si>
  <si>
    <t>I don't know where to find people who need it, I don't know how to price my work, I'm not confident approaching strangers</t>
  </si>
  <si>
    <t>Very likely</t>
  </si>
  <si>
    <t>No difference</t>
  </si>
  <si>
    <t>3-6</t>
  </si>
  <si>
    <t>Gym or workout partner, Study partner, Someone with the same hobby, A mentor or senior, A project or hackathon teammate</t>
  </si>
  <si>
    <t>Yes, once or twice</t>
  </si>
  <si>
    <t>0-3</t>
  </si>
  <si>
    <t>Learning a skill (coding, design, language, instrument), Finding someone to play a sport or hobby with, Finding a movie buddy</t>
  </si>
  <si>
    <t>Asked friends</t>
  </si>
  <si>
    <t>Sometimes</t>
  </si>
  <si>
    <t>Tutoring, Sports coaching</t>
  </si>
  <si>
    <t>Yes, sometimes</t>
  </si>
  <si>
    <t>I don't know where to find people who need it</t>
  </si>
  <si>
    <t>Neutral</t>
  </si>
  <si>
    <t>Somewhat more</t>
  </si>
  <si>
    <t>more than 6</t>
  </si>
  <si>
    <t>Study partner, Someone to play a sport with, Eating out</t>
  </si>
  <si>
    <t>Not sure</t>
  </si>
  <si>
    <t>Male</t>
  </si>
  <si>
    <t xml:space="preserve">Maitreya Is Great </t>
  </si>
  <si>
    <t xml:space="preserve">Assignment or project help, Learning a skill (coding, design, language, instrument), Buying something secondhand, Selling something, Finding a movie buddy, Murdering Nakshatra </t>
  </si>
  <si>
    <t>Instagram story, Gave up and did it myself, Gave up entirely, Im a genius why would I need help?</t>
  </si>
  <si>
    <t>I don't use those apps eww</t>
  </si>
  <si>
    <t>No, I DON'T BUY STUFF!</t>
  </si>
  <si>
    <t>Tutoring, Coding, Writing, Art or custom crafts, Repairing things, Cooking or baking, Sports coaching, Music, Therapy, Kidnapping.</t>
  </si>
  <si>
    <t>Much more</t>
  </si>
  <si>
    <t>Gym or workout partner, Study partner, Someone to play a sport with, Someone to attend an event or movie with, Someone with the same hobby, A mentor or senior, A project or hackathon teammate, Eating out</t>
  </si>
  <si>
    <t>Yes, multiple times</t>
  </si>
  <si>
    <t xml:space="preserve">Khwahish Lalwani </t>
  </si>
  <si>
    <t>more than 10</t>
  </si>
  <si>
    <t>Assignment or project help, Learning a skill (coding, design, language, instrument)</t>
  </si>
  <si>
    <t xml:space="preserve">Asked friends, Asked my brother </t>
  </si>
  <si>
    <t>Tutoring, Notes, Therapy</t>
  </si>
  <si>
    <t>Unlikely</t>
  </si>
  <si>
    <t>Study partner, Someone to play a sport with, A mentor or senior, Eating out</t>
  </si>
  <si>
    <t>No</t>
  </si>
  <si>
    <t>Female</t>
  </si>
  <si>
    <t xml:space="preserve">Agneya Prashant Bharale </t>
  </si>
  <si>
    <t>Getting something made or designed, Event or club help</t>
  </si>
  <si>
    <t>Asked friends, Asked a senior or club member</t>
  </si>
  <si>
    <t>Tutoring, Coding, Writing, Notes</t>
  </si>
  <si>
    <t>I don't know how to price my work, No time</t>
  </si>
  <si>
    <t>Likely</t>
  </si>
  <si>
    <t>Someone to play a sport with, Someone with the same hobby</t>
  </si>
  <si>
    <t>Neeraj Bhosale</t>
  </si>
  <si>
    <t>Assignment or project help, Learning a skill (coding, design, language, instrument), Getting something made or designed, Fixing or repairing something</t>
  </si>
  <si>
    <t xml:space="preserve">2. Which of these have you needed help with in the last 6 months?   </t>
  </si>
  <si>
    <t xml:space="preserve">1. In the last 3 months, how many times did you need someone to help you with something and struggle to find the right person? </t>
  </si>
  <si>
    <t>Never</t>
  </si>
  <si>
    <t xml:space="preserve">3. When you needed help, how did you try to find someone?  </t>
  </si>
  <si>
    <t xml:space="preserve">4. Of the times you posted a request in a WhatsApp or Instagram group, how often did you get a genuinely useful response?  </t>
  </si>
  <si>
    <t>Design, Video or photo editing, Photography, Art or custom crafts, Notes, Therapy</t>
  </si>
  <si>
    <t>5. Have you ever bought something new, or paid a bigger company, mainly because it was easier than finding someone nearby who could do it?</t>
  </si>
  <si>
    <t>Rarely</t>
  </si>
  <si>
    <t xml:space="preserve">6. Which of these could you do well enough that someone might pay you for it?  </t>
  </si>
  <si>
    <t>I don't know how to price my work, No time, I don't think anyone would pay, I'm not confident approaching strangers, I am awkward</t>
  </si>
  <si>
    <t xml:space="preserve">7. Have you ever wanted to earn from a skill you have, but didn't know how to find people who'd pay for it?  </t>
  </si>
  <si>
    <t xml:space="preserve">8. What's the main thing stopping you from earning from your skills?  </t>
  </si>
  <si>
    <t xml:space="preserve">9. If someone offered you ₹100–500 for a small task you're already good at, how likely would you be to take it?  </t>
  </si>
  <si>
    <t>Gym or workout partner, Someone to play a sport with, Someone to attend an event or movie with, Someone with the same hobby, Eating out</t>
  </si>
  <si>
    <t xml:space="preserve">10. Would you be more comfortable paying for a service from your fellow college student than from a stranger online?  </t>
  </si>
  <si>
    <t xml:space="preserve">11. How many times in the last month did you skip doing something you wanted to do because you had no one to do it with?  </t>
  </si>
  <si>
    <t xml:space="preserve">12. Which of these have you wanted to find someone for, but couldn't?  </t>
  </si>
  <si>
    <t xml:space="preserve">13. Have you ever thrown away, or kept unused, something that still worked, simply because you couldn't find anyone to sell or give it to?  </t>
  </si>
  <si>
    <t xml:space="preserve">14. Gender </t>
  </si>
  <si>
    <t>15. Age</t>
  </si>
  <si>
    <t>Sanika</t>
  </si>
  <si>
    <t xml:space="preserve">Assignment or project help, Learning a skill (coding, design, language, instrument), Getting something made or designed, Photography or video, Finding a movie buddy, Poetry </t>
  </si>
  <si>
    <t>Asked friends, Asked a senior or club member, Gave up entirely</t>
  </si>
  <si>
    <t>Tutoring, Writing, Art or custom crafts, Cooking or baking, Therapy</t>
  </si>
  <si>
    <t>I don't know where to find people who need it, I don't know how to price my work, No time, I don't think anyone would pay, I'm not confident approaching strangers, I am awkward</t>
  </si>
  <si>
    <t>Gym or workout partner, Study partner, Someone to play a sport with, Someone to attend an event or movie with, Someone with the same hobby, A mentor or senior, Eating out</t>
  </si>
  <si>
    <t xml:space="preserve">Nakshatra </t>
  </si>
  <si>
    <t>Assignment or project help, Learning a skill (coding, design, language, instrument), Buying something secondhand, Finding a movie buddy</t>
  </si>
  <si>
    <t>I don't know where to find people who need it, I don't know how to price my work, I don't think anyone would pay, I'm not confident approaching strangers</t>
  </si>
  <si>
    <t>Gym or workout partner, Study partner, Someone to attend an event or movie with, A mentor or senior, A project or hackathon teammate</t>
  </si>
  <si>
    <t>Ashwini Pramod Gunjal</t>
  </si>
  <si>
    <t>Assignment or project help</t>
  </si>
  <si>
    <t>Often</t>
  </si>
  <si>
    <t>Tutoring</t>
  </si>
  <si>
    <t>Never.</t>
  </si>
  <si>
    <t>Nothing, I already earn.</t>
  </si>
  <si>
    <t>Less comfortable</t>
  </si>
  <si>
    <t>Someone to attend an event or movie with</t>
  </si>
  <si>
    <t xml:space="preserve">Sureshkumar Pomaram Choudhary </t>
  </si>
  <si>
    <t>Assignment or project help, Learning a skill (coding, design, language, instrument), Finding a movie buddy</t>
  </si>
  <si>
    <t>Notes</t>
  </si>
  <si>
    <t>No time</t>
  </si>
  <si>
    <t>1-2</t>
  </si>
  <si>
    <t>Gym or workout partner, Study partner, Someone to play a sport with, Someone to attend an event or movie with, A mentor or senior, A project or hackathon teammate</t>
  </si>
  <si>
    <t xml:space="preserve">Vrushali Gunjal </t>
  </si>
  <si>
    <t>Assignment or project help, Photography or video, Finding someone to play a sport or hobby with, Finding a movie buddy</t>
  </si>
  <si>
    <t>Cooking or baking</t>
  </si>
  <si>
    <t>Gym or workout partner, Study partner, Someone to play a sport with, Someone to attend an event or movie with</t>
  </si>
  <si>
    <t>Swarali Hande</t>
  </si>
  <si>
    <t>Asked a senior or club member</t>
  </si>
  <si>
    <t>Coding, Photography, Art or custom crafts, Notes</t>
  </si>
  <si>
    <t>Maybe</t>
  </si>
  <si>
    <t>I don't know where to find people who need it, I don't know how to price my work</t>
  </si>
  <si>
    <t>A project or hackathon teammate</t>
  </si>
  <si>
    <t>Asked friends, Gave up and did it myself, Gave up entirely</t>
  </si>
  <si>
    <t>Writing, Photography, Notes</t>
  </si>
  <si>
    <t>Gym or workout partner, Study partner, Someone to attend an event or movie with, Someone with the same hobby, Eating out</t>
  </si>
  <si>
    <t xml:space="preserve">Vrushabh gunjal </t>
  </si>
  <si>
    <t>Learning a skill (coding, design, language, instrument), Buying something secondhand, Finding someone to play a sport or hobby with</t>
  </si>
  <si>
    <t>Asked friends, Used an app (Amazon, Urban Company, etc.), Gave up and did it myself</t>
  </si>
  <si>
    <t>Coding, Video or photo editing</t>
  </si>
  <si>
    <t>I don't know where to find people who need it, I don't know how to price my work, No time, I don't think anyone would pay, I'm not confident approaching strangers</t>
  </si>
  <si>
    <t>Someone to attend an event or movie with, Someone with the same hobby</t>
  </si>
  <si>
    <t xml:space="preserve">Pranav Sitaram Borude </t>
  </si>
  <si>
    <t>Assignment or project help, Learning a skill (coding, design, language, instrument), Getting something made or designed</t>
  </si>
  <si>
    <t>Used an app (Amazon, Urban Company, etc.), Asked a senior or club member</t>
  </si>
  <si>
    <t>Coding, Art or custom crafts, Music</t>
  </si>
  <si>
    <t>Gym or workout partner, Someone to play a sport with</t>
  </si>
  <si>
    <t xml:space="preserve">Roshani </t>
  </si>
  <si>
    <t>Art or custom crafts</t>
  </si>
  <si>
    <t>I'm not confident approaching strangers</t>
  </si>
  <si>
    <t>A mentor or senior, A project or hackathon teammate</t>
  </si>
  <si>
    <t xml:space="preserve">Amrita </t>
  </si>
  <si>
    <t>Getting something made or designed</t>
  </si>
  <si>
    <t>Writing, Therapy</t>
  </si>
  <si>
    <t>I don't know where to find people who need it, No time, I don't think anyone would pay</t>
  </si>
  <si>
    <t>Diya</t>
  </si>
  <si>
    <t>Tutoring, Coding, Design, Writing, Art or custom crafts, Notes</t>
  </si>
  <si>
    <t>Study partner, A mentor or senior</t>
  </si>
  <si>
    <t>Sakshi Chaudhari</t>
  </si>
  <si>
    <t>Learning a skill (coding, design, language, instrument)</t>
  </si>
  <si>
    <t>Asked friends, Asked a senior or club member, Gave up and did it myself, Gave up entirely</t>
  </si>
  <si>
    <t>Writing, Photography, Art or custom crafts, Notes</t>
  </si>
  <si>
    <t>I don't know where to find people who need it, I don't think anyone would pay, I'm not confident approaching strangers</t>
  </si>
  <si>
    <t>Gym or workout partner, A mentor or senior, A project or hackathon teammate, Eating out</t>
  </si>
  <si>
    <t>Saharsh Harshad Ambekar</t>
  </si>
  <si>
    <t>Assignment or project help, Learning a skill (coding, design, language, instrument), Photography or video</t>
  </si>
  <si>
    <t>Asked friends, Posted in a WhatsApp group, Gave up and did it myself</t>
  </si>
  <si>
    <t>Tutoring, Coding, Photography, Music, Notes, Therapy</t>
  </si>
  <si>
    <t>Study partner, Someone with the same hobby, A project or hackathon teammate</t>
  </si>
  <si>
    <t xml:space="preserve">Samruddhi Patil </t>
  </si>
  <si>
    <t>Used an app (Amazon, Urban Company, etc.)</t>
  </si>
  <si>
    <t>Coding, Design, Art or custom crafts</t>
  </si>
  <si>
    <t>I don't think anyone would pay, I am awkward, Nothing, I already earn.</t>
  </si>
  <si>
    <t>Someone with the same hobby</t>
  </si>
  <si>
    <t>Sumedh Supe</t>
  </si>
  <si>
    <t>Assignment or project help, Fixing or repairing something, Photography or video</t>
  </si>
  <si>
    <t>Asked friends, Posted in a WhatsApp group, Asked a senior or club member</t>
  </si>
  <si>
    <t>Tutoring, Coding</t>
  </si>
  <si>
    <t>I don't know how to price my work</t>
  </si>
  <si>
    <t>Study partner, Someone to play a sport with</t>
  </si>
  <si>
    <t xml:space="preserve">Khushi Lalit Shah </t>
  </si>
  <si>
    <t>Learning a skill (coding, design, language, instrument), Fixing or repairing something, Photography or video, Buying something secondhand, Selling something, Finding someone to play a sport or hobby with, Event or club help, Finding a movie buddy</t>
  </si>
  <si>
    <t>Asked friends, Asked a senior or club member, Gave up and did it myself</t>
  </si>
  <si>
    <t>Tutoring, Coding, Design, Writing, Video or photo editing, Photography, Art or custom crafts, Cooking or baking, Notes, Therapy</t>
  </si>
  <si>
    <t xml:space="preserve">Devansh Sahane </t>
  </si>
  <si>
    <t>Assignment or project help, Learning a skill (coding, design, language, instrument), Fixing or repairing something, Finding someone to play a sport or hobby with, Finding a movie buddy</t>
  </si>
  <si>
    <t>Asked friends, Used an app (Amazon, Urban Company, etc.), Gave up and did it myself, Gave up entirely</t>
  </si>
  <si>
    <t>Coding, Writing</t>
  </si>
  <si>
    <t>I don't know where to find people who need it, I don't know how to price my work, No time</t>
  </si>
  <si>
    <t>Study partner, Someone to attend an event or movie with, Someone with the same hobby, A mentor or senior, Eating out</t>
  </si>
  <si>
    <t xml:space="preserve">Devesh </t>
  </si>
  <si>
    <t>Buying something secondhand, Selling something, Finding a movie buddy</t>
  </si>
  <si>
    <t>Asked friends, Posted in a WhatsApp group, Used an app (Amazon, Urban Company, etc.), Asked a senior or club member</t>
  </si>
  <si>
    <t>Tutoring, Coding, Design, Writing, Therapy</t>
  </si>
  <si>
    <t>Someone to play a sport with, Someone to attend an event or movie with, Someone with the same hobby, A mentor or senior, A project or hackathon teammate</t>
  </si>
  <si>
    <t>Disha</t>
  </si>
  <si>
    <t>Assignment or project help, Getting something made or designed, Fixing or repairing something, Finding someone to play a sport or hobby with, Event or club help</t>
  </si>
  <si>
    <t>Asked friends, Used an app (Amazon, Urban Company, etc.), Asked a senior or club member</t>
  </si>
  <si>
    <t>Tutoring, Writing, Art or custom crafts, Music, Notes, Therapy</t>
  </si>
  <si>
    <t>Study partner, Someone to attend an event or movie with, Someone with the same hobby, A mentor or senior, A project or hackathon teammate, Eating out</t>
  </si>
  <si>
    <t>Rushikesh katole</t>
  </si>
  <si>
    <t xml:space="preserve">Assignment or project help, Finding someone to play a sport or hobby with, Finding a movie buddy, </t>
  </si>
  <si>
    <t>Tutoring, Writing, Cooking or baking, Sports coaching, Music</t>
  </si>
  <si>
    <t>I don't know where to find people who need it, I am awkward</t>
  </si>
  <si>
    <t>Study partner, Someone to attend an event or movie with, A project or hackathon teammate</t>
  </si>
  <si>
    <t xml:space="preserve">Disha Ramteke </t>
  </si>
  <si>
    <t>Writing, Cooking or baking, Music, Notes</t>
  </si>
  <si>
    <t>Samruddhi Sanjay Chawada</t>
  </si>
  <si>
    <t>Always</t>
  </si>
  <si>
    <t>Writing, Art or custom crafts, Cooking or baking, Music</t>
  </si>
  <si>
    <t>Asked friends, Gave up and did it myself</t>
  </si>
  <si>
    <t>Coding</t>
  </si>
  <si>
    <t>I don't think anyone would pay</t>
  </si>
  <si>
    <t>Gym or workout partner, A mentor or senior</t>
  </si>
  <si>
    <t xml:space="preserve">Prachi Pardeshi </t>
  </si>
  <si>
    <t>Assignment or project help, Learning a skill (coding, design, language, instrument), Event or club help</t>
  </si>
  <si>
    <t>Tutoring, Design, Writing, Notes</t>
  </si>
  <si>
    <t>Study partner, A mentor or senior, A project or hackathon teammate</t>
  </si>
  <si>
    <t xml:space="preserve">Shreyas Bhavsar </t>
  </si>
  <si>
    <t>Assignment or project help, Getting something made or designed</t>
  </si>
  <si>
    <t>Gym or workout partner, Someone with the same hobby</t>
  </si>
  <si>
    <t>Angel chavan</t>
  </si>
  <si>
    <t>Assignment or project help, Learning a skill (coding, design, language, instrument), Getting something made or designed, Fixing or repairing something, Photography or video, Buying something secondhand, Selling something, Finding someone to play a sport or hobby with, Event or club help, Finding a movie buddy</t>
  </si>
  <si>
    <t>Tutoring, Writing, Photography, Art or custom crafts, Cooking or baking</t>
  </si>
  <si>
    <t>Eating out</t>
  </si>
  <si>
    <t xml:space="preserve">Rushi Shah </t>
  </si>
  <si>
    <t>Asked friends, Used an app (Amazon, Urban Company, etc.)</t>
  </si>
  <si>
    <t>Tutoring, Writing, Notes</t>
  </si>
  <si>
    <t xml:space="preserve">Harsh </t>
  </si>
  <si>
    <t>Getting something made or designed, Photography or video, Finding a movie buddy</t>
  </si>
  <si>
    <t>Tutoring, Writing, Photography</t>
  </si>
  <si>
    <t>Someone to play a sport with, A mentor or senior, Eating out</t>
  </si>
  <si>
    <t xml:space="preserve">Siddhi </t>
  </si>
  <si>
    <t>Learning a skill (coding, design, language, instrument), Fixing or repairing something, Filling exam form</t>
  </si>
  <si>
    <t>Tutoring, Music, Therapy</t>
  </si>
  <si>
    <t>I don't know where to find people who need it, I don't know how to price my work, No time, I don't think anyone would pay</t>
  </si>
  <si>
    <t>Learning a skill (coding, design, language, instrument), Fixing or repairing something, Photography or video, Event or club help</t>
  </si>
  <si>
    <t xml:space="preserve">Asked a senior or club member, </t>
  </si>
  <si>
    <t xml:space="preserve">Tutoring, </t>
  </si>
  <si>
    <t xml:space="preserve">I don't know where to find people who need it, </t>
  </si>
  <si>
    <t>Very unlikely</t>
  </si>
  <si>
    <t xml:space="preserve">Jiya </t>
  </si>
  <si>
    <t>Study partner, Someone to attend an event or movie with, Someone with the same hobby, A project or hackathon teammate</t>
  </si>
  <si>
    <t>Aditi Pandey</t>
  </si>
  <si>
    <t>Assignment or project help, Fixing or repairing something, Finding someone to play a sport or hobby with</t>
  </si>
  <si>
    <t>Asked friends, Used an app (Amazon, Urban Company, etc.), Asked a senior or club member, Gave up and did it myself</t>
  </si>
  <si>
    <t>Tutoring, Design, Writing, Photography, Art or custom crafts, Cooking or baking, Music, Notes, Therapy</t>
  </si>
  <si>
    <t>No time, I'm not confident approaching strangers</t>
  </si>
  <si>
    <t xml:space="preserve">Anushka Deshmukh </t>
  </si>
  <si>
    <t>Design, Writing, Notes</t>
  </si>
  <si>
    <t>Gym or workout partner, Someone to play a sport with, Someone with the same hobby</t>
  </si>
  <si>
    <t>Abhishek Rajput</t>
  </si>
  <si>
    <t>Assignment or project help, Fixing or repairing something, Event or club help</t>
  </si>
  <si>
    <t>Gave up entirely</t>
  </si>
  <si>
    <t>Design, Art or custom crafts, Repairing things</t>
  </si>
  <si>
    <t>I don't know where to find people who need it, No time</t>
  </si>
  <si>
    <t>Gym or workout partner, Study partner, Someone to play a sport with, Someone with the same hobby</t>
  </si>
  <si>
    <t>Anushka Shah</t>
  </si>
  <si>
    <t xml:space="preserve">Assignment or project help, Photography or video, </t>
  </si>
  <si>
    <t>Tutoring, Writing, Notes, Therapy</t>
  </si>
  <si>
    <t>Study partner, Someone to play a sport with, Someone to attend an event or movie with</t>
  </si>
  <si>
    <t>Krishna</t>
  </si>
  <si>
    <t>Assignment or project help, Learning a skill (coding, design, language, instrument), Getting something made or designed, Finding someone to play a sport or hobby with</t>
  </si>
  <si>
    <t>Asked friends, Gave up entirely</t>
  </si>
  <si>
    <t>Tutoring, Coding, Design, Video or photo editing, Art or custom crafts</t>
  </si>
  <si>
    <t>I don't know where to find people who need it, I don't know how to price my work, I don't think anyone would pay, I'm not confident approaching strangers, I am awkward</t>
  </si>
  <si>
    <t>Study partner, Someone to play a sport with, Someone to attend an event or movie with, Someone with the same hobby, A project or hackathon teammate</t>
  </si>
  <si>
    <t xml:space="preserve">Nishigandha Wable </t>
  </si>
  <si>
    <t>Finding someone to play a sport or hobby with</t>
  </si>
  <si>
    <t>Tutoring, Design, Art or custom crafts, Notes, Therapy</t>
  </si>
  <si>
    <t>Study partner</t>
  </si>
  <si>
    <t xml:space="preserve">Makaranda Dharak </t>
  </si>
  <si>
    <t>Assignment or project help, Learning a skill (coding, design, language, instrument), Getting something made or designed, Fixing or repairing something, Photography or video, Buying something secondhand, Event or club help, Finding a movie buddy</t>
  </si>
  <si>
    <t>Asked friends, Used an app (Amazon, Urban Company, etc.), Asked a senior or club member, Gave up and did it myself, Gave up entirely</t>
  </si>
  <si>
    <t>A mentor or senior</t>
  </si>
  <si>
    <t>Kavya</t>
  </si>
  <si>
    <t>Assignment or project help, Learning a skill (coding, design, language, instrument), Photography or video, Finding a movie buddy</t>
  </si>
  <si>
    <t>Tutoring, Cooking or baking</t>
  </si>
  <si>
    <t>Study partner, Someone to attend an event or movie with, Someone with the same hobby, A mentor or senior</t>
  </si>
  <si>
    <t xml:space="preserve">Gayatri Jadhav </t>
  </si>
  <si>
    <t>Design</t>
  </si>
  <si>
    <t>Ayush Chitnis</t>
  </si>
  <si>
    <t>Tutoring, Video or photo editing, Repairing things, Sports coaching</t>
  </si>
  <si>
    <t>Study partner, A project or hackathon teammate</t>
  </si>
  <si>
    <t xml:space="preserve">Drishti Patharkar </t>
  </si>
  <si>
    <t>Assignment or project help, Photography or video, Finding someone to play a sport or hobby with, Event or club help</t>
  </si>
  <si>
    <t>Photography, Music, Notes, Therapy</t>
  </si>
  <si>
    <t>I don't know where to find people who need it, No time, I am awkward</t>
  </si>
  <si>
    <t>Gym or workout partner, Someone to play a sport with, Someone to attend an event or movie with, A mentor or senior, Eating out</t>
  </si>
  <si>
    <t>Tanishque Anandkar</t>
  </si>
  <si>
    <t>Assignment or project help, Learning a skill (coding, design, language, instrument), Buying something secondhand</t>
  </si>
  <si>
    <t>Design, Writing, Cooking or baking, Music</t>
  </si>
  <si>
    <t>I don't know where to find people who need it, I don't know how to price my work, No time, I'm not confident approaching strangers</t>
  </si>
  <si>
    <t>Study partner, Someone with the same hobby, A mentor or senior</t>
  </si>
  <si>
    <t xml:space="preserve">Ravi Gupta </t>
  </si>
  <si>
    <t>Finding someone to play a sport or hobby with, Friends for the Hangoutss</t>
  </si>
  <si>
    <t>Repairing things, Cooking or baking</t>
  </si>
  <si>
    <t>Tutoring, Coding, Sports coaching, Notes</t>
  </si>
  <si>
    <t>Arjun Gavane</t>
  </si>
  <si>
    <t>Photography or video, Finding a movie buddy</t>
  </si>
  <si>
    <t>Tutoring, Art or custom crafts, Cooking or baking</t>
  </si>
  <si>
    <t xml:space="preserve">Suhani Dhurve </t>
  </si>
  <si>
    <t>Coding, Design, Notes</t>
  </si>
  <si>
    <t xml:space="preserve">Prutha patil </t>
  </si>
  <si>
    <t>Assignment or project help, Learning a skill (coding, design, language, instrument), Fixing or repairing something, Finding someone to play a sport or hobby with, Event or club help</t>
  </si>
  <si>
    <t>Art or custom crafts, Repairing things, Cooking or baking, Music</t>
  </si>
  <si>
    <t>No time, I am awkward</t>
  </si>
  <si>
    <t>Gym or workout partner, Study partner</t>
  </si>
  <si>
    <t>Sam</t>
  </si>
  <si>
    <t>Tutoring, Writing, Video or photo editing</t>
  </si>
  <si>
    <t>Gym or workout partner, Study partner, Someone to play a sport with, Someone with the same hobby, A mentor or senior</t>
  </si>
  <si>
    <t xml:space="preserve">Prachi Bute </t>
  </si>
  <si>
    <t>Art or custom crafts, Dance</t>
  </si>
  <si>
    <t>Someone to play a sport with, Someone with the same hobby, A mentor or senior</t>
  </si>
  <si>
    <t xml:space="preserve">daivik kaul </t>
  </si>
  <si>
    <t>none</t>
  </si>
  <si>
    <t>Gym or workout partner</t>
  </si>
  <si>
    <t>Kashvi</t>
  </si>
  <si>
    <t>Assignment or project help, Photography or video</t>
  </si>
  <si>
    <t>Harsh Harade</t>
  </si>
  <si>
    <t>Assignment or project help, Learning a skill (coding, design, language, instrument), Finding someone to play a sport or hobby with, Event or club help</t>
  </si>
  <si>
    <t>Tutoring, Coding, Sports coaching</t>
  </si>
  <si>
    <t>Someone to play a sport with, Someone with the same hobby, A project or hackathon teammate, Eating out</t>
  </si>
  <si>
    <t xml:space="preserve">Rohit Parasaram Gaikwad </t>
  </si>
  <si>
    <t>Assignment or project help, Fixing or repairing something, Finding someone to play a sport or hobby with, Finding a movie buddy</t>
  </si>
  <si>
    <t>Coding, Music</t>
  </si>
  <si>
    <t>I am awkward</t>
  </si>
  <si>
    <t>Gym or workout partner, Study partner, Someone to play a sport with, A mentor or senior, A project or hackathon teammate</t>
  </si>
  <si>
    <t>Bhavish</t>
  </si>
  <si>
    <t>Tutoring, Coding, Writing, Repairing things, Cooking or baking, Notes, Therapy</t>
  </si>
  <si>
    <t>I don't know where to find people who need it, I'm not confident approaching strangers</t>
  </si>
  <si>
    <t>Gym or workout partner, Study partner, Someone to play a sport with, Someone to attend an event or movie with, A project or hackathon teammate, Eating out</t>
  </si>
  <si>
    <t xml:space="preserve">Sandhini Gangurde </t>
  </si>
  <si>
    <t>Finding someone to play a sport or hobby with, Event or club help</t>
  </si>
  <si>
    <t>Tutoring, Video or photo editing, Art or custom crafts, Cooking or baking, Notes</t>
  </si>
  <si>
    <t>Learning a skill (coding, design, language, instrument), Fixing or repairing something, Finding someone to play a sport or hobby with</t>
  </si>
  <si>
    <t>I don't think anyone would pay, I am awkward</t>
  </si>
  <si>
    <t>Someone to play a sport with</t>
  </si>
  <si>
    <t xml:space="preserve">Balaji Vaijanath Damkondwar </t>
  </si>
  <si>
    <t xml:space="preserve">Assignment or project help, Learning a skill (coding, design, language, instrument), Getting something made or designed, Fixing or repairing something, Selling something, Finding someone to play a sport or hobby with, Event or club help, </t>
  </si>
  <si>
    <t>Tutoring, Coding, Design, Video or photo editing, Notes, Therapy</t>
  </si>
  <si>
    <t>I don't know where to find people who need it, No time, I don't think anyone would pay, I'm not confident approaching strangers</t>
  </si>
  <si>
    <t>Study partner, Someone to play a sport with, Someone to attend an event or movie with, A mentor or senior, A project or hackathon teammate, Eating out</t>
  </si>
  <si>
    <t xml:space="preserve">Adwaith Biju Nambiar </t>
  </si>
  <si>
    <t>Tutoring, Writing, Music, Notes</t>
  </si>
  <si>
    <t>I don't know where to find people who need it, No time, I don't think anyone would pay, I am awkward</t>
  </si>
  <si>
    <t xml:space="preserve">I dont know </t>
  </si>
  <si>
    <t>I dont know</t>
  </si>
  <si>
    <t>Subhangi Nayak</t>
  </si>
  <si>
    <t>Asked friends, Instagram story, Asked a senior or club member, Gave up and did it myself</t>
  </si>
  <si>
    <t>Art or custom crafts, Repairing things, Notes, Dance</t>
  </si>
  <si>
    <t>Gym or workout partner, A project or hackathon teammate, Eating out</t>
  </si>
  <si>
    <t>Prajakta chavan</t>
  </si>
  <si>
    <t>Buying something secondhand</t>
  </si>
  <si>
    <t>Instagram story</t>
  </si>
  <si>
    <t>Tutoring, Writing, Video or photo editing, Photography, Notes</t>
  </si>
  <si>
    <t>Startup idea</t>
  </si>
  <si>
    <t>Sanket Patil</t>
  </si>
  <si>
    <t>Design, Art or custom crafts, Notes</t>
  </si>
  <si>
    <t>I don't think anyone would pay, I'm not confident approaching strangers, I am awkward</t>
  </si>
  <si>
    <t>Study partner, Someone to play a sport with, Someone with the same hobby</t>
  </si>
  <si>
    <t>Soham Sharma</t>
  </si>
  <si>
    <t>Assignment or project help, Learning a skill (coding, design, language, instrument), Selling something, Finding a movie buddy, Finding someone to share a hobby with</t>
  </si>
  <si>
    <t>Tutoring, Therapy</t>
  </si>
  <si>
    <t>No time, I don't think anyone would pay, I'm not confident approaching strangers, I am awkward</t>
  </si>
  <si>
    <t>Assignment or project help, Getting something made or designed, Photography or video</t>
  </si>
  <si>
    <t>Design, Video or photo editing</t>
  </si>
  <si>
    <t>Someone to play a sport with, Someone to attend an event or movie with</t>
  </si>
  <si>
    <t>Saumyaa</t>
  </si>
  <si>
    <t>Learning a skill (coding, design, language, instrument), Finding someone to play a sport or hobby with</t>
  </si>
  <si>
    <t>Cooking or baking, Notes</t>
  </si>
  <si>
    <t>Someone to play a sport with, Someone with the same hobby, A project or hackathon teammate</t>
  </si>
  <si>
    <t>Himanshu Rajendra Choudhari</t>
  </si>
  <si>
    <t xml:space="preserve">Yash Umesh Shinde </t>
  </si>
  <si>
    <t>Writing</t>
  </si>
  <si>
    <t xml:space="preserve">Gulshan yadav </t>
  </si>
  <si>
    <t>Getting something made or designed, Fixing or repairing something, Photography or video</t>
  </si>
  <si>
    <t>Video or photo editing, Repairing things, Sports coaching</t>
  </si>
  <si>
    <t xml:space="preserve">Nothing, I already earn., </t>
  </si>
  <si>
    <t xml:space="preserve">Nirupam </t>
  </si>
  <si>
    <t>Learning a skill (coding, design, language, instrument), Fixing or repairing something, Buying something secondhand, Finding a movie buddy</t>
  </si>
  <si>
    <t>Tutoring, Coding, Photography, Cooking or baking, Notes, Therapy</t>
  </si>
  <si>
    <t>I don't think anyone would pay, I'm not confident approaching strangers</t>
  </si>
  <si>
    <t xml:space="preserve">Khushi Kolhe </t>
  </si>
  <si>
    <t>Photography or video, Finding someone to play a sport or hobby with, Finding a movie buddy</t>
  </si>
  <si>
    <t>Asked friends, Posted in a WhatsApp group</t>
  </si>
  <si>
    <t>Sports coaching, Therapy</t>
  </si>
  <si>
    <t>Gym or workout partner, Someone to play a sport with, Someone to attend an event or movie with, A project or hackathon teammate, Eating out</t>
  </si>
  <si>
    <t xml:space="preserve">Saurabh Rakhonde </t>
  </si>
  <si>
    <t>Assignment or project help, Learning a skill (coding, design, language, instrument), Fixing or repairing something, Photography or video, Finding someone to play a sport or hobby with</t>
  </si>
  <si>
    <t>Coding, Design, Photography, Sports coaching</t>
  </si>
  <si>
    <t>Someone to play a sport with, Someone to attend an event or movie with, Someone with the same hobby</t>
  </si>
  <si>
    <t xml:space="preserve">Utkarsh </t>
  </si>
  <si>
    <t>Evan</t>
  </si>
  <si>
    <t>Tutoring, Coding, Writing, Art or custom crafts, Repairing things</t>
  </si>
  <si>
    <t>Kashish jangid</t>
  </si>
  <si>
    <t>Asked friends, Posted in a WhatsApp group, Asked a senior or club member, Gave up and did it myself, Gave up entirely</t>
  </si>
  <si>
    <t xml:space="preserve">Utkarsh Muttha </t>
  </si>
  <si>
    <t>Uday Lingayat</t>
  </si>
  <si>
    <t>Assignment or project help, Getting something made or designed, Photography or video, Buying something secondhand</t>
  </si>
  <si>
    <t>Tutoring, Coding, Repairing things</t>
  </si>
  <si>
    <t>I don't know where to find people who need it, I don't know how to price my work, No time, I am awkward</t>
  </si>
  <si>
    <t>Blank</t>
  </si>
  <si>
    <t>Buying something secondhand, Selling something</t>
  </si>
  <si>
    <t>I don't know where to find people who need it, No time, I'm not confident approaching strangers</t>
  </si>
  <si>
    <t>Prefer not to say</t>
  </si>
  <si>
    <t xml:space="preserve">Sandeep </t>
  </si>
  <si>
    <t>Assignment or project help, Learning a skill (coding, design, language, instrument), Getting something made or designed, Photography or video, Buying something secondhand, Selling something, Event or club help, Finding a movie buddy</t>
  </si>
  <si>
    <t>Asked friends, Instagram story, Asked a senior or club member</t>
  </si>
  <si>
    <t>Tutoring, Coding, Design, Sports coaching, Notes</t>
  </si>
  <si>
    <t>Gym or workout partner, Study partner, Someone to play a sport with, Someone to attend an event or movie with, A mentor or senior, A project or hackathon teammate, Eating out</t>
  </si>
  <si>
    <t xml:space="preserve">Nilam </t>
  </si>
  <si>
    <t>Learning a skill (coding, design, language, instrument), Finding someone to play a sport or hobby with, Event or club help</t>
  </si>
  <si>
    <t>Tutoring, Writing</t>
  </si>
  <si>
    <t>Study partner, Someone with the same hobby, A mentor or senior, A project or hackathon teammate</t>
  </si>
  <si>
    <t>Adesh</t>
  </si>
  <si>
    <t>Fixing or repairing something</t>
  </si>
  <si>
    <t>Therapy</t>
  </si>
  <si>
    <t xml:space="preserve">Sandesh Gawade </t>
  </si>
  <si>
    <t>Asked friends, Instagram story</t>
  </si>
  <si>
    <t xml:space="preserve">Harikrishna Polisetty </t>
  </si>
  <si>
    <t>Assignment or project help, Fixing or repairing something, Photography or video, Finding someone to play a sport or hobby with</t>
  </si>
  <si>
    <t>Design, Video or photo editing, Photography, Repairing things, Cooking or baking, Sports coaching</t>
  </si>
  <si>
    <t>.</t>
  </si>
  <si>
    <t xml:space="preserve">Shreya </t>
  </si>
  <si>
    <t>Learning a skill (coding, design, language, instrument), Buying something secondhand, Selling something</t>
  </si>
  <si>
    <t>Tutoring, Design, Writing, Art or custom crafts, Cooking or baking, Notes</t>
  </si>
  <si>
    <t>I don't know where to find people who need it, I don't know how to price my work, I don't think anyone would pay, I am awkward</t>
  </si>
  <si>
    <t>Gym or workout partner, A mentor or senior, A project or hackathon teammate</t>
  </si>
  <si>
    <t>Rizwan</t>
  </si>
  <si>
    <t>Video or photo editing</t>
  </si>
  <si>
    <t>Chandu chamkadar</t>
  </si>
  <si>
    <t xml:space="preserve">Assignment or project help, Learning a skill (coding, design, language, instrument), Getting something made or designed, Fixing or repairing something, Photography or video, Buying something secondhand, Selling something, Finding someone to play a sport or hobby with, Event or club help, Finding a movie buddy, Bat soup nhi mila </t>
  </si>
  <si>
    <t xml:space="preserve">Asked friends, Posted in a WhatsApp group, Instagram story, Used an app (Amazon, Urban Company, etc.), Asked a senior or club member, Gave up and did it myself, Gave up entirely, Called my guy in wuhan </t>
  </si>
  <si>
    <t xml:space="preserve">Tutoring, Coding, Design, Writing, Video or photo editing, Photography, Art or custom crafts, Repairing things, Cooking or baking, Sports coaching, Music, Notes, Therapy, Chandu ki chandani missing hai </t>
  </si>
  <si>
    <t xml:space="preserve">I don't know where to find people who need it, I don't know how to price my work, No time, I don't think anyone would pay, I'm not confident approaching strangers, Nothing, I already earn., Last time polis ne roka tha aur </t>
  </si>
  <si>
    <t xml:space="preserve">Gym or workout partner, Study partner, Someone to play a sport with, Someone to attend an event or movie with, Someone with the same hobby, A mentor or senior, A project or hackathon teammate, Eating out, Aapka loan approve hogaya hai </t>
  </si>
  <si>
    <t xml:space="preserve">Gogo power ranger </t>
  </si>
  <si>
    <t xml:space="preserve">Bahen ka chahuta bhai  </t>
  </si>
  <si>
    <t xml:space="preserve">Assignment or project help, Learning a skill (coding, design, language, instrument), Getting something made or designed, Fixing or repairing something, Photography or video, Buying something secondhand, Selling something, Finding someone to play a sport or hobby with, Event or club help, Finding a movie buddy, MODI MODI MODI </t>
  </si>
  <si>
    <t xml:space="preserve">Asked friends, Posted in a WhatsApp group, Instagram story, Used an app (Amazon, Urban Company, etc.), Asked a senior or club member, Gave up and did it myself, Gave up entirely, modi modi  </t>
  </si>
  <si>
    <t xml:space="preserve">Tutoring, Coding, Design, Writing, Video or photo editing, Photography, Art or custom crafts, Repairing things, Cooking or baking, Sports coaching, Music, Notes, Therapy, Sonam ko koi khana khila do yaar </t>
  </si>
  <si>
    <t xml:space="preserve">I don't know where to find people who need it, I don't know how to price my work, No time, I don't think anyone would pay, I'm not confident approaching strangers, I am awkward, Nothing, I already earn., Sonam ki bhuk hartal </t>
  </si>
  <si>
    <t>Gym or workout partner, Study partner, Someone to play a sport with, Someone to attend an event or movie with, Someone with the same hobby, A mentor or senior, A project or hackathon teammate, Eating out, Koi Sonam se mila do yaar</t>
  </si>
  <si>
    <t xml:space="preserve">Suhan Tadavi </t>
  </si>
  <si>
    <t>Assignment or project help, Learning a skill (coding, design, language, instrument), Finding someone to play a sport or hobby with, Finding a movie buddy</t>
  </si>
  <si>
    <t>Asked friends, Posted in a WhatsApp group, Instagram story, Used an app (Amazon, Urban Company, etc.)</t>
  </si>
  <si>
    <t>Photography, Repairing things</t>
  </si>
  <si>
    <t>Study partner, Someone to attend an event or movie with</t>
  </si>
  <si>
    <t>Modi G</t>
  </si>
  <si>
    <t xml:space="preserve">Yeh hartal rukwa do koi </t>
  </si>
  <si>
    <t>Instagram story, Rahul mera bhai hai</t>
  </si>
  <si>
    <t xml:space="preserve">Modi hai tu munkin hai </t>
  </si>
  <si>
    <t xml:space="preserve">Modi hu ladle </t>
  </si>
  <si>
    <t xml:space="preserve">Wangchuk ne maa no </t>
  </si>
  <si>
    <t xml:space="preserve">Ishan don </t>
  </si>
  <si>
    <t xml:space="preserve">SIA </t>
  </si>
  <si>
    <t xml:space="preserve">Prasanna Mankar </t>
  </si>
  <si>
    <t xml:space="preserve">Manish Nimbalkar </t>
  </si>
  <si>
    <t>Assignment or project help, Finding a movie buddy</t>
  </si>
  <si>
    <t xml:space="preserve">Neel Chourasia </t>
  </si>
  <si>
    <t>Coding, Sports coaching, Music</t>
  </si>
  <si>
    <t>Someone to play a sport with, A project or hackathon teammate</t>
  </si>
  <si>
    <t xml:space="preserve">Vedant Patel </t>
  </si>
  <si>
    <t>Fixing or repairing something, Event or club help, Finding a movie buddy</t>
  </si>
  <si>
    <t>Gym or workout partner, A project or hackathon teammate</t>
  </si>
  <si>
    <t xml:space="preserve">Tanya Saxena </t>
  </si>
  <si>
    <t>Coding, Video or photo editing, Repairing things, Sports coaching, Therapy</t>
  </si>
  <si>
    <t xml:space="preserve">Harshada Bhalekar </t>
  </si>
  <si>
    <t>Assignment or project help, Fixing or repairing something, Finding someone to play a sport or hobby with, Event or club help</t>
  </si>
  <si>
    <t>Tutoring, Writing, Art or custom crafts, Notes, Therapy</t>
  </si>
  <si>
    <t>Gym or workout partner, Someone to attend an event or movie with</t>
  </si>
  <si>
    <t>Shreayash</t>
  </si>
  <si>
    <t>Photography or video, Buying something secondhand, Selling something</t>
  </si>
  <si>
    <t>Coding, Video or photo editing, Photography</t>
  </si>
  <si>
    <t>I don't know how to price my work, I'm not confident approaching strangers, I am awkward</t>
  </si>
  <si>
    <t>Ronak Gandhi</t>
  </si>
  <si>
    <t>Learning a skill (coding, design, language, instrument), Fixing or repairing something</t>
  </si>
  <si>
    <t>I don't know where to find people who need it, I don't know how to price my work, I don't think anyone would pay</t>
  </si>
  <si>
    <t>Prasad Kalyani</t>
  </si>
  <si>
    <t>Assignment or project help, Learning a skill (coding, design, language, instrument), Finding someone to play a sport or hobby with</t>
  </si>
  <si>
    <t>I don't know where to find people who need it, I don't know how to price my work, I'm not confident approaching strangers, I am awkward</t>
  </si>
  <si>
    <t>Gym or workout partner, Study partner, Someone with the same hobby, A mentor or senior</t>
  </si>
  <si>
    <t xml:space="preserve">Netal Nilesh Baheti </t>
  </si>
  <si>
    <t>Finding someone to play a sport or hobby with, Finding a movie buddy</t>
  </si>
  <si>
    <t>Cooking or baking, Music, Notes</t>
  </si>
  <si>
    <t>Ajay Ganesh Shriniwar</t>
  </si>
  <si>
    <t>Tutoring, Coding, Writing, Cooking or baking, Music</t>
  </si>
  <si>
    <t>Someone to play a sport with, Someone to attend an event or movie with, Someone with the same hobby, Eating out</t>
  </si>
  <si>
    <t xml:space="preserve">Rutuja Shirish Singh </t>
  </si>
  <si>
    <t xml:space="preserve">Abhishek Sharma </t>
  </si>
  <si>
    <t>Asked friends, Gave up and did it myself, Reddit</t>
  </si>
  <si>
    <t>Tutoring, Design, Notes, Therapy</t>
  </si>
  <si>
    <t>Study partner, Someone with the same hobby, Eating out</t>
  </si>
  <si>
    <t xml:space="preserve">Dhanshree Bankar </t>
  </si>
  <si>
    <t>Design, Video or photo editing, Photography, Art or custom crafts</t>
  </si>
  <si>
    <t xml:space="preserve">Parth Ghumade </t>
  </si>
  <si>
    <t>Tutoring, Coding, Photography, Repairing things</t>
  </si>
  <si>
    <t xml:space="preserve">Diya Shinde </t>
  </si>
  <si>
    <t>Assignment or project help, Photography or video, Event or club help</t>
  </si>
  <si>
    <t>Design, Notes, Therapy</t>
  </si>
  <si>
    <t xml:space="preserve">Chanchal </t>
  </si>
  <si>
    <t>Tutoring, Coding, Design, Art or custom crafts</t>
  </si>
  <si>
    <t>Tutoring, Photography, Art or custom crafts</t>
  </si>
  <si>
    <t>I don't know where to find people who need it, I'm not confident approaching strangers, I am awkward</t>
  </si>
  <si>
    <t>A project or hackathon teammate, Eating out</t>
  </si>
  <si>
    <t xml:space="preserve">Amruta Eknath Biradar </t>
  </si>
  <si>
    <t>Assignment or project help, Learning a skill (coding, design, language, instrument), Fixing or repairing something, Event or club help</t>
  </si>
  <si>
    <t>Tutoring, Notes</t>
  </si>
  <si>
    <t xml:space="preserve">Prachi  Patil </t>
  </si>
  <si>
    <t>Video or photo editing, Notes</t>
  </si>
  <si>
    <t>Gym or workout partner, Study partner, Someone to play a sport with, Someone with the same hobby, Eating out</t>
  </si>
  <si>
    <t>Dominos Autism</t>
  </si>
  <si>
    <t>Photography</t>
  </si>
  <si>
    <t>I don't know how to price my work, I am awkward</t>
  </si>
  <si>
    <t>I'm not confident approaching strangers, I am awkward</t>
  </si>
  <si>
    <t xml:space="preserve">Michael Jackson </t>
  </si>
  <si>
    <t>Posted in a WhatsApp group, Gave up and did it myself</t>
  </si>
  <si>
    <t>Video or photo editing, Photography</t>
  </si>
  <si>
    <t>Gym or workout partner, Study partner, Someone to play a sport with, Someone to attend an event or movie with, Someone with the same hobby</t>
  </si>
  <si>
    <t xml:space="preserve">Disha Shashikumar Deshmukh </t>
  </si>
  <si>
    <t>Coding, Design, Cooking or baking</t>
  </si>
  <si>
    <t xml:space="preserve">Bcz of studies and job preparation </t>
  </si>
  <si>
    <t xml:space="preserve">Kritika </t>
  </si>
  <si>
    <t>Video or photo editing, Photography, Art or custom crafts, Notes</t>
  </si>
  <si>
    <t xml:space="preserve">Maithili Pawade </t>
  </si>
  <si>
    <t>Tutoring, Art or custom crafts, Therapy</t>
  </si>
  <si>
    <t>Someone to play a sport with, Eating out</t>
  </si>
  <si>
    <t xml:space="preserve">Prefer nottosay </t>
  </si>
  <si>
    <t xml:space="preserve">Vedanti Waikar </t>
  </si>
  <si>
    <t>Photography, Art or custom crafts</t>
  </si>
  <si>
    <t xml:space="preserve">Chirag </t>
  </si>
  <si>
    <t>I know people</t>
  </si>
  <si>
    <t>Tutoring, Coding, Therapy</t>
  </si>
  <si>
    <t>None</t>
  </si>
  <si>
    <t xml:space="preserve">Raj Sharma </t>
  </si>
  <si>
    <t xml:space="preserve">Coding, Teaching maths </t>
  </si>
  <si>
    <t>Gym or workout partner, Study partner, Someone to play a sport with, Someone to attend an event or movie with, Someone with the same hobby, A mentor or senior, A project or hackathon teammate</t>
  </si>
  <si>
    <t xml:space="preserve">Hitenrao Perkare </t>
  </si>
  <si>
    <t>I don't know how to price my work, I don't think anyone would pay, I'm not confident approaching strangers</t>
  </si>
  <si>
    <t>Gym or workout partner, Study partner, A mentor or senior, A project or hackathon teammate</t>
  </si>
  <si>
    <t>Shweta</t>
  </si>
  <si>
    <t>Assignment or project help, Learning a skill (coding, design, language, instrument), Buying something secondhand, Selling something, Finding someone to play a sport or hobby with, Event or club help</t>
  </si>
  <si>
    <t>Tutoring, Design, Writing, Video or photo editing, Photography, Art or custom crafts, Notes</t>
  </si>
  <si>
    <t>I don't know where to find people who need it, I don't know how to price my work, I am awkward</t>
  </si>
  <si>
    <t>Someone to play a sport with, A mentor or senior</t>
  </si>
  <si>
    <t xml:space="preserve">Mitesh Agrawal </t>
  </si>
  <si>
    <t xml:space="preserve">Asked friends, Asked a senior or club member, Gave up and did it myself, Parents </t>
  </si>
  <si>
    <t>Tutoring, Coding, Design</t>
  </si>
  <si>
    <t>I don't know how to price my work, No time, I'm not confident approaching strangers</t>
  </si>
  <si>
    <t>Gangadhar tilalk</t>
  </si>
  <si>
    <t>Posted in a WhatsApp group, Instagram story</t>
  </si>
  <si>
    <t>Tutoring, Coding, Design, Writing</t>
  </si>
  <si>
    <t>Study partner, Someone with the same hobby</t>
  </si>
  <si>
    <t>Divyesh Khachane</t>
  </si>
  <si>
    <t xml:space="preserve">Smit </t>
  </si>
  <si>
    <t>Assignment or project help, Learning a skill (coding, design, language, instrument), Fixing or repairing something, Finding someone to play a sport or hobby with</t>
  </si>
  <si>
    <t>Tutoring, Coding, Photography</t>
  </si>
  <si>
    <t>Gym or workout partner, Study partner, Someone to play a sport with, A mentor or senior</t>
  </si>
  <si>
    <t xml:space="preserve">Sphurti Deshmukh </t>
  </si>
  <si>
    <t>Getting something made or designed, Fixing or repairing something</t>
  </si>
  <si>
    <t>Asked friends, Posted in a WhatsApp group, Used an app (Amazon, Urban Company, etc.), Gave up and did it myself</t>
  </si>
  <si>
    <t>A mentor or senior, To help in tasks</t>
  </si>
  <si>
    <t>Amritesh Singh</t>
  </si>
  <si>
    <t>Assignment or project help, Learning a skill (coding, design, language, instrument), Getting something made or designed, Fixing or repairing something, Selling something, Finding someone to play a sport or hobby with, Event or club help</t>
  </si>
  <si>
    <t xml:space="preserve">Khushi </t>
  </si>
  <si>
    <t>Tutoring, Coding, Design, Writing, Art or custom crafts, Music</t>
  </si>
  <si>
    <t>Assignment or project help, Learning a skill (coding, design, language, instrument), Getting something made or designed, Event or club help</t>
  </si>
  <si>
    <t>Asked friends, Posted in a WhatsApp group, Used an app (Amazon, Urban Company, etc.)</t>
  </si>
  <si>
    <t>Tutoring, Coding, Design, Writing, Music</t>
  </si>
  <si>
    <t>Gym or workout partner, Someone to play a sport with, Someone with the same hobby, A mentor or senior, A project or hackathon teammate, Eating out</t>
  </si>
  <si>
    <t>Lakshit Singh</t>
  </si>
  <si>
    <t>Learning a skill (coding, design, language, instrument), Fixing or repairing something, Event or club help</t>
  </si>
  <si>
    <t>Tutoring, Coding, Design, Notes</t>
  </si>
  <si>
    <t xml:space="preserve">Siya </t>
  </si>
  <si>
    <t>Assignment or project help, Finding someone to play a sport or hobby with</t>
  </si>
  <si>
    <t>Study partner, Someone to play a sport with, A mentor or senior, A project or hackathon teammate</t>
  </si>
  <si>
    <t>Tutoring, Video or photo editing, Art or custom crafts</t>
  </si>
  <si>
    <t>Sashwat</t>
  </si>
  <si>
    <t>Assignment or project help, Learning a skill (coding, design, language, instrument), Selling something</t>
  </si>
  <si>
    <t>Tutoring, Coding, Writing, Art or custom crafts, Music</t>
  </si>
  <si>
    <t>Gym or workout partner, Someone with the same hobby, A mentor or senior, Eating out</t>
  </si>
  <si>
    <t>Aryan</t>
  </si>
  <si>
    <t>Asked friends, Instagram story, Used an app (Amazon, Urban Company, etc.)</t>
  </si>
  <si>
    <t>Repairing things</t>
  </si>
  <si>
    <t>Gayatri</t>
  </si>
  <si>
    <t>Asked friends, Posted in a WhatsApp group, Instagram story</t>
  </si>
  <si>
    <t>Coding, Design, Writing</t>
  </si>
  <si>
    <t>Gym or workout partner, Study partner, Someone to play a sport with</t>
  </si>
  <si>
    <t>Luv</t>
  </si>
  <si>
    <t>I don't know how to price my work, No time, I don't think anyone would pay</t>
  </si>
  <si>
    <t>Gym or workout partner, Study partner, A project or hackathon teammate</t>
  </si>
  <si>
    <t>Ambika</t>
  </si>
  <si>
    <t xml:space="preserve">Assignment or project help, Learning a skill (coding, design, language, instrument), Getting something made or designed, Dancing </t>
  </si>
  <si>
    <t>Tutoring, Coding, Video or photo editing, Photography, Art or custom crafts, Cooking or baking, Therapy</t>
  </si>
  <si>
    <t>Study partner, Someone with the same hobby, A project or hackathon teammate, Eating out</t>
  </si>
  <si>
    <t>Tarakh</t>
  </si>
  <si>
    <t>Posted in a WhatsApp group</t>
  </si>
  <si>
    <t>No time, I don't think anyone would pay</t>
  </si>
  <si>
    <t>Someone with the same hobby, A mentor or senior</t>
  </si>
  <si>
    <t>Krish</t>
  </si>
  <si>
    <t>Tutoring, Coding, Design, Photography, Sports coaching</t>
  </si>
  <si>
    <t>Someone to play a sport with, Someone to attend an event or movie with, A mentor or senior</t>
  </si>
  <si>
    <t xml:space="preserve">Pramod </t>
  </si>
  <si>
    <t>Fixing or repairing something, Photography or video</t>
  </si>
  <si>
    <t>Gym or workout partner, Study partner, Someone to play a sport with, A project or hackathon teammate</t>
  </si>
  <si>
    <t>Arham</t>
  </si>
  <si>
    <t>Assignment or project help, Learning a skill (coding, design, language, instrument), Getting something made or designed, Selling something</t>
  </si>
  <si>
    <t>Coding, Video or photo editing, Repairing things, Sports coaching</t>
  </si>
  <si>
    <t>Gym or workout partner, Someone to play a sport with, Someone to attend an event or movie with</t>
  </si>
  <si>
    <t xml:space="preserve">Sidharth </t>
  </si>
  <si>
    <t>Fixing or repairing something, Photography or video, Buying something secondhand, Event or club help</t>
  </si>
  <si>
    <t>Tutoring, Coding, Writing, Video or photo editing, Sports coaching</t>
  </si>
  <si>
    <t>I don't know where to find people who need it, No time, I'm not confident approaching strangers, I am awkward</t>
  </si>
  <si>
    <t>Gym or workout partner, Study partner, Someone to attend an event or movie with, Someone with the same hobby</t>
  </si>
  <si>
    <t xml:space="preserve">Savaliram </t>
  </si>
  <si>
    <t>Kamla</t>
  </si>
  <si>
    <t>Fixing or repairing something, Buying something secondhand, Selling something</t>
  </si>
  <si>
    <t>Tutoring, Coding, Video or photo editing, Cooking or baking</t>
  </si>
  <si>
    <t>Gym or workout partner, Someone to play a sport with, Someone to attend an event or movie with, Eating out</t>
  </si>
  <si>
    <t>Virat kohli</t>
  </si>
  <si>
    <t>Photography or video</t>
  </si>
  <si>
    <t>Instagram story, Used an app (Amazon, Urban Company, etc.)</t>
  </si>
  <si>
    <t xml:space="preserve">Photography, Kidnapping </t>
  </si>
  <si>
    <t>Someone with the same hobby, A project or hackathon teammate</t>
  </si>
  <si>
    <t xml:space="preserve">Mahendra </t>
  </si>
  <si>
    <t>Instagram story, Asked a senior or club member</t>
  </si>
  <si>
    <t>Tutoring, Design, Writing, Photography, Art or custom crafts</t>
  </si>
  <si>
    <t>Gym or workout partner, Someone to play a sport with, Someone with the same hobby, A project or hackathon teammate</t>
  </si>
  <si>
    <t xml:space="preserve">Rohit Sharma </t>
  </si>
  <si>
    <t>Learning a skill (coding, design, language, instrument), Selling something, Finding someone to play a sport or hobby with</t>
  </si>
  <si>
    <t>Posted in a WhatsApp group, Instagram story, Used an app (Amazon, Urban Company, etc.)</t>
  </si>
  <si>
    <t>Cooking or baking, Sports coaching</t>
  </si>
  <si>
    <t>Writing, Art or custom crafts, Music</t>
  </si>
  <si>
    <t>I don't know how to price my work, I'm not confident approaching strangers</t>
  </si>
  <si>
    <t>Garish</t>
  </si>
  <si>
    <t xml:space="preserve">Swayam </t>
  </si>
  <si>
    <t>Design, Video or photo editing, Art or custom crafts, Repairing things</t>
  </si>
  <si>
    <t>Gym or workout partner, Someone with the same hobby, Eating out</t>
  </si>
  <si>
    <t xml:space="preserve">Mithlai </t>
  </si>
  <si>
    <t>Video or photo editing, Art or custom crafts, Sports coaching</t>
  </si>
  <si>
    <t>Someone to play a sport with, Someone to attend an event or movie with, Someone with the same hobby, A project or hackathon teammate, Eating out</t>
  </si>
  <si>
    <t>Ashwin</t>
  </si>
  <si>
    <t>Assignment or project help, Learning a skill (coding, design, language, instrument), Getting something made or designed, Fixing or repairing something, Photography or video</t>
  </si>
  <si>
    <t>Tutoring, Writing, Repairing things, Music, Notes</t>
  </si>
  <si>
    <t xml:space="preserve">Shankar </t>
  </si>
  <si>
    <t>Learning a skill (coding, design, language, instrument), Getting something made or designed, Fixing or repairing something</t>
  </si>
  <si>
    <t>Coding, Writing, Art or custom crafts, Repairing things, Cooking or baking, Sports coaching, Music</t>
  </si>
  <si>
    <t>I don't know where to find people who need it, I don't think anyone would pay</t>
  </si>
  <si>
    <t>Tanish</t>
  </si>
  <si>
    <t>Fixing or repairing something, Photography or video, Buying something secondhand, Selling something</t>
  </si>
  <si>
    <t xml:space="preserve">Design, Writing, Video or photo editing, Photography, Therapy, Kidnapping and human trafficking </t>
  </si>
  <si>
    <t>Shreya</t>
  </si>
  <si>
    <t xml:space="preserve">Vaidehi </t>
  </si>
  <si>
    <t>Learning a skill (coding, design, language, instrument), Fixing or repairing something, Finding someone to play a sport or hobby with, Event or club help</t>
  </si>
  <si>
    <t>Design, Writing</t>
  </si>
  <si>
    <t xml:space="preserve">Pranjali </t>
  </si>
  <si>
    <t>Assignment or project help, Fixing or repairing something</t>
  </si>
  <si>
    <t xml:space="preserve">Tanvi </t>
  </si>
  <si>
    <t>Saurabhi</t>
  </si>
  <si>
    <t>Sports coaching</t>
  </si>
  <si>
    <t>Someone to play a sport with, Someone to attend an event or movie with, A project or hackathon teammate, Eating out</t>
  </si>
  <si>
    <t xml:space="preserve">Tanya </t>
  </si>
  <si>
    <t>Learning a skill (coding, design, language, instrument), Fixing or repairing something, Buying something secondhand</t>
  </si>
  <si>
    <t>Instagram story, Asked a senior or club member, Gave up entirely</t>
  </si>
  <si>
    <t>Someone to attend an event or movie with, Someone with the same hobby, A mentor or senior</t>
  </si>
  <si>
    <t xml:space="preserve">Sarika </t>
  </si>
  <si>
    <t>Assignment or project help, Fixing or repairing something, Buying something secondhand, Finding someone to play a sport or hobby with, Finding a movie buddy</t>
  </si>
  <si>
    <t>Used an app (Amazon, Urban Company, etc.), Asked a senior or club member, Gave up entirely</t>
  </si>
  <si>
    <t>Chandani</t>
  </si>
  <si>
    <t>Design, Video or photo editing, Art or custom crafts</t>
  </si>
  <si>
    <t>Maitri</t>
  </si>
  <si>
    <t>Assignment or project help, Finding someone to play a sport or hobby with, Finding a movie buddy</t>
  </si>
  <si>
    <t>Coding, Video or photo editing, Repairing things, Music</t>
  </si>
  <si>
    <t>No time, I don't think anyone would pay, I am awkward</t>
  </si>
  <si>
    <t>Study partner, Someone to attend an event or movie with, A mentor or senior</t>
  </si>
  <si>
    <t>Radha</t>
  </si>
  <si>
    <t>Getting something made or designed, Photography or video, Finding someone to play a sport or hobby with</t>
  </si>
  <si>
    <t>Posted in a WhatsApp group, Asked a senior or club member</t>
  </si>
  <si>
    <t>Art or custom crafts, Repairing things</t>
  </si>
  <si>
    <t>Someone to attend an event or movie with, A mentor or senior, A project or hackathon teammate</t>
  </si>
  <si>
    <t xml:space="preserve">Tanmay </t>
  </si>
  <si>
    <t>Fixing or repairing something, Selling something, Event or club help</t>
  </si>
  <si>
    <t xml:space="preserve">Nothing </t>
  </si>
  <si>
    <t>Sinhali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</si>
</sst>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Which of these have you wanted to find someone for, but couldn't?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'Chart Data'!$B$1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 Data'!$A$2:$A$20</c:f>
            </c:strRef>
          </c:cat>
          <c:val>
            <c:numRef>
              <c:f>'Chart Data'!$B$2:$B$20</c:f>
              <c:numCache/>
            </c:numRef>
          </c:val>
        </c:ser>
        <c:axId val="2140758303"/>
        <c:axId val="258083809"/>
      </c:barChart>
      <c:catAx>
        <c:axId val="21407583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083809"/>
      </c:catAx>
      <c:valAx>
        <c:axId val="258083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758303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Need Counts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'Chart Data'!$B$1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 Data'!$A$2:$A$16</c:f>
            </c:strRef>
          </c:cat>
          <c:val>
            <c:numRef>
              <c:f>'Chart Data'!$B$2:$B$16</c:f>
              <c:numCache/>
            </c:numRef>
          </c:val>
        </c:ser>
        <c:axId val="1535017303"/>
        <c:axId val="1084779585"/>
      </c:barChart>
      <c:catAx>
        <c:axId val="15350173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779585"/>
      </c:catAx>
      <c:valAx>
        <c:axId val="10847795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017303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620000" cy="4762500"/>
    <xdr:graphicFrame>
      <xdr:nvGraphicFramePr>
        <xdr:cNvPr id="2" name="Chart 2" title="Which of these have you wanted to find someone for, but couldn't?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715000" cy="3810000"/>
    <xdr:graphicFrame>
      <xdr:nvGraphicFramePr>
        <xdr:cNvPr id="1" name="Chart 1" title="Need Coun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79" displayName="Form_Responses" name="Form_Responses" id="1">
  <tableColumns count="18">
    <tableColumn name="Timestamp" id="1"/>
    <tableColumn name="Please enter your name" id="2"/>
    <tableColumn name="1. In the last 3 months, how many times did you need someone to help you with something and struggle to find the right person? " id="3"/>
    <tableColumn name="2. Which of these have you needed help with in the last 6 months?   " id="4"/>
    <tableColumn name="3. When you needed help, how did you try to find someone?  " id="5"/>
    <tableColumn name="4. Of the times you posted a request in a WhatsApp or Instagram group, how often did you get a genuinely useful response?  " id="6"/>
    <tableColumn name="5. Have you ever bought something new, or paid a bigger company, mainly because it was easier than finding someone nearby who could do it?" id="7"/>
    <tableColumn name="6. Which of these could you do well enough that someone might pay you for it?  " id="8"/>
    <tableColumn name="7. Have you ever wanted to earn from a skill you have, but didn't know how to find people who'd pay for it?  " id="9"/>
    <tableColumn name="8. What's the main thing stopping you from earning from your skills?  " id="10"/>
    <tableColumn name="9. If someone offered you ₹100–500 for a small task you're already good at, how likely would you be to take it?  " id="11"/>
    <tableColumn name="10. Would you be more comfortable paying for a service from your fellow college student than from a stranger online?  " id="12"/>
    <tableColumn name="11. How many times in the last month did you skip doing something you wanted to do because you had no one to do it with?  " id="13"/>
    <tableColumn name="12. Which of these have you wanted to find someone for, but couldn't?  " id="14"/>
    <tableColumn name="13. Have you ever thrown away, or kept unused, something that still worked, simply because you couldn't find anyone to sell or give it to?  " id="15"/>
    <tableColumn name="14. Gender " id="16"/>
    <tableColumn name="15. Age" id="17"/>
    <tableColumn name="Column 17" id="1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Q141" displayName="Table1" name="Table1" id="2">
  <tableColumns count="17">
    <tableColumn name="Please enter your name" id="1"/>
    <tableColumn name="2. Which of these have you needed help with in the last 6 months?   " id="2"/>
    <tableColumn name="1. In the last 3 months, how many times did you need someone to help you with something and struggle to find the right person? " id="3"/>
    <tableColumn name="3. When you needed help, how did you try to find someone?  " id="4"/>
    <tableColumn name="4. Of the times you posted a request in a WhatsApp or Instagram group, how often did you get a genuinely useful response?  " id="5"/>
    <tableColumn name="5. Have you ever bought something new, or paid a bigger company, mainly because it was easier than finding someone nearby who could do it?" id="6"/>
    <tableColumn name="6. Which of these could you do well enough that someone might pay you for it?  " id="7"/>
    <tableColumn name="7. Have you ever wanted to earn from a skill you have, but didn't know how to find people who'd pay for it?  " id="8"/>
    <tableColumn name="8. What's the main thing stopping you from earning from your skills?  " id="9"/>
    <tableColumn name="9. If someone offered you ₹100–500 for a small task you're already good at, how likely would you be to take it?  " id="10"/>
    <tableColumn name="10. Would you be more comfortable paying for a service from your fellow college student than from a stranger online?  " id="11"/>
    <tableColumn name="11. How many times in the last month did you skip doing something you wanted to do because you had no one to do it with?  " id="12"/>
    <tableColumn name="12. Which of these have you wanted to find someone for, but couldn't?  " id="13"/>
    <tableColumn name="13. Have you ever thrown away, or kept unused, something that still worked, simply because you couldn't find anyone to sell or give it to?  " id="14"/>
    <tableColumn name="14. Gender " id="15"/>
    <tableColumn name="15. Age" id="16"/>
    <tableColumn name="Column 17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38"/>
    <col customWidth="1" min="2" max="2" width="22.38"/>
    <col customWidth="1" min="3" max="15" width="37.63"/>
    <col customWidth="1" min="16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ht="22.5" customHeight="1">
      <c r="A2" s="4"/>
      <c r="B2" s="5"/>
      <c r="C2" s="6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8" t="s">
        <v>28</v>
      </c>
      <c r="N2" s="7" t="s">
        <v>29</v>
      </c>
      <c r="O2" s="9" t="s">
        <v>30</v>
      </c>
      <c r="P2" s="10"/>
      <c r="Q2" s="10"/>
      <c r="R2" s="5"/>
    </row>
    <row r="3" ht="22.5" customHeight="1">
      <c r="A3" s="4"/>
      <c r="B3" s="5"/>
      <c r="C3" s="7" t="s">
        <v>31</v>
      </c>
      <c r="D3" s="7" t="s">
        <v>32</v>
      </c>
      <c r="E3" s="7" t="s">
        <v>33</v>
      </c>
      <c r="F3" s="7" t="s">
        <v>34</v>
      </c>
      <c r="G3" s="7" t="s">
        <v>30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9" t="s">
        <v>40</v>
      </c>
      <c r="N3" s="7" t="s">
        <v>41</v>
      </c>
      <c r="O3" s="9" t="s">
        <v>42</v>
      </c>
      <c r="P3" s="9" t="s">
        <v>43</v>
      </c>
      <c r="Q3" s="9">
        <v>19.0</v>
      </c>
      <c r="R3" s="11"/>
    </row>
    <row r="4" ht="22.5" customHeight="1">
      <c r="A4" s="12"/>
      <c r="B4" s="13" t="s">
        <v>44</v>
      </c>
      <c r="C4" s="14" t="s">
        <v>28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24</v>
      </c>
      <c r="J4" s="13" t="s">
        <v>37</v>
      </c>
      <c r="K4" s="13" t="s">
        <v>26</v>
      </c>
      <c r="L4" s="13" t="s">
        <v>50</v>
      </c>
      <c r="M4" s="15" t="s">
        <v>28</v>
      </c>
      <c r="N4" s="13" t="s">
        <v>51</v>
      </c>
      <c r="O4" s="16" t="s">
        <v>52</v>
      </c>
      <c r="P4" s="16" t="s">
        <v>43</v>
      </c>
      <c r="Q4" s="16">
        <v>18.0</v>
      </c>
      <c r="R4" s="17"/>
    </row>
    <row r="5" ht="22.5" customHeight="1">
      <c r="A5" s="12"/>
      <c r="B5" s="13" t="s">
        <v>53</v>
      </c>
      <c r="C5" s="13" t="s">
        <v>54</v>
      </c>
      <c r="D5" s="13" t="s">
        <v>55</v>
      </c>
      <c r="E5" s="13" t="s">
        <v>56</v>
      </c>
      <c r="F5" s="13" t="s">
        <v>21</v>
      </c>
      <c r="G5" s="13" t="s">
        <v>48</v>
      </c>
      <c r="H5" s="13" t="s">
        <v>57</v>
      </c>
      <c r="I5" s="13" t="s">
        <v>24</v>
      </c>
      <c r="J5" s="13" t="s">
        <v>25</v>
      </c>
      <c r="K5" s="13" t="s">
        <v>58</v>
      </c>
      <c r="L5" s="13" t="s">
        <v>39</v>
      </c>
      <c r="M5" s="15" t="s">
        <v>28</v>
      </c>
      <c r="N5" s="13" t="s">
        <v>59</v>
      </c>
      <c r="O5" s="16" t="s">
        <v>60</v>
      </c>
      <c r="P5" s="16" t="s">
        <v>61</v>
      </c>
      <c r="Q5" s="16">
        <v>14.0</v>
      </c>
      <c r="R5" s="17"/>
    </row>
    <row r="6" ht="22.5" customHeight="1">
      <c r="A6" s="12"/>
      <c r="B6" s="13" t="s">
        <v>62</v>
      </c>
      <c r="C6" s="13" t="s">
        <v>31</v>
      </c>
      <c r="D6" s="13" t="s">
        <v>63</v>
      </c>
      <c r="E6" s="13" t="s">
        <v>64</v>
      </c>
      <c r="F6" s="13" t="s">
        <v>21</v>
      </c>
      <c r="G6" s="13" t="s">
        <v>60</v>
      </c>
      <c r="H6" s="13" t="s">
        <v>65</v>
      </c>
      <c r="I6" s="13" t="s">
        <v>36</v>
      </c>
      <c r="J6" s="13" t="s">
        <v>66</v>
      </c>
      <c r="K6" s="13" t="s">
        <v>67</v>
      </c>
      <c r="L6" s="13" t="s">
        <v>50</v>
      </c>
      <c r="M6" s="16">
        <v>0.0</v>
      </c>
      <c r="N6" s="13" t="s">
        <v>68</v>
      </c>
      <c r="O6" s="16" t="s">
        <v>60</v>
      </c>
      <c r="P6" s="16" t="s">
        <v>43</v>
      </c>
      <c r="Q6" s="16">
        <v>18.0</v>
      </c>
      <c r="R6" s="17"/>
    </row>
    <row r="7" ht="22.5" customHeight="1">
      <c r="A7" s="12"/>
      <c r="B7" s="13" t="s">
        <v>69</v>
      </c>
      <c r="C7" s="14" t="s">
        <v>18</v>
      </c>
      <c r="D7" s="13" t="s">
        <v>70</v>
      </c>
      <c r="E7" s="13" t="s">
        <v>64</v>
      </c>
      <c r="F7" s="13" t="s">
        <v>73</v>
      </c>
      <c r="G7" s="13" t="s">
        <v>30</v>
      </c>
      <c r="H7" s="13" t="s">
        <v>76</v>
      </c>
      <c r="I7" s="13" t="s">
        <v>78</v>
      </c>
      <c r="J7" s="13" t="s">
        <v>80</v>
      </c>
      <c r="K7" s="13" t="s">
        <v>67</v>
      </c>
      <c r="L7" s="13" t="s">
        <v>39</v>
      </c>
      <c r="M7" s="15" t="s">
        <v>28</v>
      </c>
      <c r="N7" s="13" t="s">
        <v>84</v>
      </c>
      <c r="O7" s="16" t="s">
        <v>30</v>
      </c>
      <c r="P7" s="16" t="s">
        <v>43</v>
      </c>
      <c r="Q7" s="16">
        <v>18.0</v>
      </c>
      <c r="R7" s="17"/>
    </row>
    <row r="8" ht="22.5" customHeight="1">
      <c r="A8" s="12"/>
      <c r="B8" s="13" t="s">
        <v>91</v>
      </c>
      <c r="C8" s="14" t="s">
        <v>28</v>
      </c>
      <c r="D8" s="13" t="s">
        <v>92</v>
      </c>
      <c r="E8" s="13" t="s">
        <v>93</v>
      </c>
      <c r="F8" s="13" t="s">
        <v>78</v>
      </c>
      <c r="G8" s="13" t="s">
        <v>22</v>
      </c>
      <c r="H8" s="13" t="s">
        <v>94</v>
      </c>
      <c r="I8" s="13" t="s">
        <v>24</v>
      </c>
      <c r="J8" s="13" t="s">
        <v>95</v>
      </c>
      <c r="K8" s="13" t="s">
        <v>67</v>
      </c>
      <c r="L8" s="13" t="s">
        <v>39</v>
      </c>
      <c r="M8" s="16" t="s">
        <v>40</v>
      </c>
      <c r="N8" s="13" t="s">
        <v>96</v>
      </c>
      <c r="O8" s="16" t="s">
        <v>52</v>
      </c>
      <c r="P8" s="16" t="s">
        <v>61</v>
      </c>
      <c r="Q8" s="16">
        <v>18.0</v>
      </c>
      <c r="R8" s="17"/>
    </row>
    <row r="9" ht="22.5" customHeight="1">
      <c r="A9" s="12"/>
      <c r="B9" s="13" t="s">
        <v>97</v>
      </c>
      <c r="C9" s="14" t="s">
        <v>28</v>
      </c>
      <c r="D9" s="13" t="s">
        <v>98</v>
      </c>
      <c r="E9" s="13" t="s">
        <v>20</v>
      </c>
      <c r="F9" s="13" t="s">
        <v>21</v>
      </c>
      <c r="G9" s="13" t="s">
        <v>22</v>
      </c>
      <c r="H9" s="13" t="s">
        <v>23</v>
      </c>
      <c r="I9" s="13" t="s">
        <v>24</v>
      </c>
      <c r="J9" s="13" t="s">
        <v>99</v>
      </c>
      <c r="K9" s="13" t="s">
        <v>26</v>
      </c>
      <c r="L9" s="13" t="s">
        <v>27</v>
      </c>
      <c r="M9" s="15" t="s">
        <v>28</v>
      </c>
      <c r="N9" s="13" t="s">
        <v>100</v>
      </c>
      <c r="O9" s="16" t="s">
        <v>30</v>
      </c>
      <c r="P9" s="16" t="s">
        <v>43</v>
      </c>
      <c r="Q9" s="16">
        <v>18.0</v>
      </c>
      <c r="R9" s="17"/>
    </row>
    <row r="10" ht="22.5" customHeight="1">
      <c r="A10" s="12"/>
      <c r="B10" s="13" t="s">
        <v>101</v>
      </c>
      <c r="C10" s="13" t="s">
        <v>54</v>
      </c>
      <c r="D10" s="13" t="s">
        <v>102</v>
      </c>
      <c r="E10" s="13" t="s">
        <v>33</v>
      </c>
      <c r="F10" s="13" t="s">
        <v>103</v>
      </c>
      <c r="G10" s="13" t="s">
        <v>22</v>
      </c>
      <c r="H10" s="13" t="s">
        <v>104</v>
      </c>
      <c r="I10" s="13" t="s">
        <v>105</v>
      </c>
      <c r="J10" s="13" t="s">
        <v>106</v>
      </c>
      <c r="K10" s="13" t="s">
        <v>26</v>
      </c>
      <c r="L10" s="13" t="s">
        <v>107</v>
      </c>
      <c r="M10" s="16" t="s">
        <v>40</v>
      </c>
      <c r="N10" s="13" t="s">
        <v>108</v>
      </c>
      <c r="O10" s="16" t="s">
        <v>52</v>
      </c>
      <c r="P10" s="16" t="s">
        <v>61</v>
      </c>
      <c r="Q10" s="16">
        <v>67.0</v>
      </c>
      <c r="R10" s="17"/>
    </row>
    <row r="11" ht="22.5" customHeight="1">
      <c r="A11" s="12"/>
      <c r="B11" s="13" t="s">
        <v>109</v>
      </c>
      <c r="C11" s="13" t="s">
        <v>31</v>
      </c>
      <c r="D11" s="13" t="s">
        <v>110</v>
      </c>
      <c r="E11" s="13" t="s">
        <v>64</v>
      </c>
      <c r="F11" s="13" t="s">
        <v>103</v>
      </c>
      <c r="G11" s="13" t="s">
        <v>60</v>
      </c>
      <c r="H11" s="13" t="s">
        <v>111</v>
      </c>
      <c r="I11" s="13" t="s">
        <v>24</v>
      </c>
      <c r="J11" s="13" t="s">
        <v>112</v>
      </c>
      <c r="K11" s="13" t="s">
        <v>67</v>
      </c>
      <c r="L11" s="13" t="s">
        <v>39</v>
      </c>
      <c r="M11" s="15" t="s">
        <v>113</v>
      </c>
      <c r="N11" s="13" t="s">
        <v>114</v>
      </c>
      <c r="O11" s="16" t="s">
        <v>60</v>
      </c>
      <c r="P11" s="16" t="s">
        <v>43</v>
      </c>
      <c r="Q11" s="16">
        <v>20.0</v>
      </c>
      <c r="R11" s="17"/>
    </row>
    <row r="12" ht="22.5" customHeight="1">
      <c r="A12" s="12"/>
      <c r="B12" s="13" t="s">
        <v>115</v>
      </c>
      <c r="C12" s="14" t="s">
        <v>28</v>
      </c>
      <c r="D12" s="13" t="s">
        <v>116</v>
      </c>
      <c r="E12" s="13" t="s">
        <v>33</v>
      </c>
      <c r="F12" s="13" t="s">
        <v>73</v>
      </c>
      <c r="G12" s="13" t="s">
        <v>48</v>
      </c>
      <c r="H12" s="13" t="s">
        <v>117</v>
      </c>
      <c r="I12" s="13" t="s">
        <v>36</v>
      </c>
      <c r="J12" s="13" t="s">
        <v>37</v>
      </c>
      <c r="K12" s="13" t="s">
        <v>67</v>
      </c>
      <c r="L12" s="13" t="s">
        <v>39</v>
      </c>
      <c r="M12" s="15" t="s">
        <v>113</v>
      </c>
      <c r="N12" s="13" t="s">
        <v>118</v>
      </c>
      <c r="O12" s="16" t="s">
        <v>30</v>
      </c>
      <c r="P12" s="16" t="s">
        <v>61</v>
      </c>
      <c r="Q12" s="16">
        <v>20.0</v>
      </c>
      <c r="R12" s="17"/>
    </row>
    <row r="13" ht="22.5" customHeight="1">
      <c r="A13" s="12"/>
      <c r="B13" s="13" t="s">
        <v>119</v>
      </c>
      <c r="C13" s="14" t="s">
        <v>28</v>
      </c>
      <c r="D13" s="13" t="s">
        <v>102</v>
      </c>
      <c r="E13" s="13" t="s">
        <v>120</v>
      </c>
      <c r="F13" s="13" t="s">
        <v>21</v>
      </c>
      <c r="G13" s="13" t="s">
        <v>60</v>
      </c>
      <c r="H13" s="13" t="s">
        <v>121</v>
      </c>
      <c r="I13" s="13" t="s">
        <v>122</v>
      </c>
      <c r="J13" s="13" t="s">
        <v>123</v>
      </c>
      <c r="K13" s="13" t="s">
        <v>67</v>
      </c>
      <c r="L13" s="13" t="s">
        <v>27</v>
      </c>
      <c r="M13" s="15" t="s">
        <v>113</v>
      </c>
      <c r="N13" s="13" t="s">
        <v>124</v>
      </c>
      <c r="O13" s="16" t="s">
        <v>42</v>
      </c>
      <c r="P13" s="16" t="s">
        <v>61</v>
      </c>
      <c r="Q13" s="16">
        <v>18.0</v>
      </c>
      <c r="R13" s="17"/>
    </row>
    <row r="14" ht="22.5" customHeight="1">
      <c r="A14" s="12"/>
      <c r="C14" s="13" t="s">
        <v>31</v>
      </c>
      <c r="D14" s="13" t="s">
        <v>110</v>
      </c>
      <c r="E14" s="13" t="s">
        <v>125</v>
      </c>
      <c r="F14" s="13" t="s">
        <v>103</v>
      </c>
      <c r="G14" s="13" t="s">
        <v>48</v>
      </c>
      <c r="H14" s="13" t="s">
        <v>126</v>
      </c>
      <c r="I14" s="13" t="s">
        <v>78</v>
      </c>
      <c r="J14" s="13" t="s">
        <v>80</v>
      </c>
      <c r="K14" s="13" t="s">
        <v>38</v>
      </c>
      <c r="L14" s="13" t="s">
        <v>39</v>
      </c>
      <c r="M14" s="15" t="s">
        <v>113</v>
      </c>
      <c r="N14" s="13" t="s">
        <v>127</v>
      </c>
      <c r="O14" s="16" t="s">
        <v>52</v>
      </c>
      <c r="P14" s="16" t="s">
        <v>43</v>
      </c>
      <c r="Q14" s="16">
        <v>19.0</v>
      </c>
      <c r="R14" s="17"/>
    </row>
    <row r="15" ht="22.5" customHeight="1">
      <c r="A15" s="12"/>
      <c r="B15" s="13" t="s">
        <v>128</v>
      </c>
      <c r="C15" s="14" t="s">
        <v>28</v>
      </c>
      <c r="D15" s="13" t="s">
        <v>129</v>
      </c>
      <c r="E15" s="13" t="s">
        <v>130</v>
      </c>
      <c r="F15" s="13" t="s">
        <v>34</v>
      </c>
      <c r="G15" s="13" t="s">
        <v>22</v>
      </c>
      <c r="H15" s="13" t="s">
        <v>131</v>
      </c>
      <c r="I15" s="13" t="s">
        <v>24</v>
      </c>
      <c r="J15" s="13" t="s">
        <v>132</v>
      </c>
      <c r="K15" s="13" t="s">
        <v>38</v>
      </c>
      <c r="L15" s="13" t="s">
        <v>39</v>
      </c>
      <c r="M15" s="15" t="s">
        <v>113</v>
      </c>
      <c r="N15" s="13" t="s">
        <v>133</v>
      </c>
      <c r="O15" s="16" t="s">
        <v>52</v>
      </c>
      <c r="P15" s="16" t="s">
        <v>43</v>
      </c>
      <c r="Q15" s="16">
        <v>16.0</v>
      </c>
      <c r="R15" s="17"/>
    </row>
    <row r="16" ht="22.5" customHeight="1">
      <c r="A16" s="12"/>
      <c r="B16" s="13" t="s">
        <v>134</v>
      </c>
      <c r="C16" s="14" t="s">
        <v>18</v>
      </c>
      <c r="D16" s="13" t="s">
        <v>135</v>
      </c>
      <c r="E16" s="13" t="s">
        <v>136</v>
      </c>
      <c r="F16" s="13" t="s">
        <v>103</v>
      </c>
      <c r="G16" s="13" t="s">
        <v>30</v>
      </c>
      <c r="H16" s="13" t="s">
        <v>137</v>
      </c>
      <c r="I16" s="13" t="s">
        <v>36</v>
      </c>
      <c r="J16" s="13" t="s">
        <v>37</v>
      </c>
      <c r="K16" s="13" t="s">
        <v>38</v>
      </c>
      <c r="L16" s="13" t="s">
        <v>39</v>
      </c>
      <c r="M16" s="15" t="s">
        <v>28</v>
      </c>
      <c r="N16" s="13" t="s">
        <v>138</v>
      </c>
      <c r="O16" s="16" t="s">
        <v>52</v>
      </c>
      <c r="P16" s="16" t="s">
        <v>43</v>
      </c>
      <c r="Q16" s="16">
        <v>19.0</v>
      </c>
      <c r="R16" s="17"/>
    </row>
    <row r="17" ht="22.5" customHeight="1">
      <c r="A17" s="12"/>
      <c r="B17" s="13" t="s">
        <v>139</v>
      </c>
      <c r="C17" s="13" t="s">
        <v>54</v>
      </c>
      <c r="D17" s="13" t="s">
        <v>102</v>
      </c>
      <c r="E17" s="13" t="s">
        <v>20</v>
      </c>
      <c r="F17" s="13" t="s">
        <v>21</v>
      </c>
      <c r="G17" s="13" t="s">
        <v>60</v>
      </c>
      <c r="H17" s="13" t="s">
        <v>140</v>
      </c>
      <c r="I17" s="13" t="s">
        <v>36</v>
      </c>
      <c r="J17" s="13" t="s">
        <v>141</v>
      </c>
      <c r="K17" s="13" t="s">
        <v>38</v>
      </c>
      <c r="L17" s="13" t="s">
        <v>27</v>
      </c>
      <c r="M17" s="16">
        <v>0.0</v>
      </c>
      <c r="N17" s="13" t="s">
        <v>142</v>
      </c>
      <c r="O17" s="16" t="s">
        <v>60</v>
      </c>
      <c r="P17" s="16" t="s">
        <v>61</v>
      </c>
      <c r="Q17" s="16">
        <v>18.0</v>
      </c>
      <c r="R17" s="17"/>
    </row>
    <row r="18" ht="22.5" customHeight="1">
      <c r="A18" s="12"/>
      <c r="B18" s="13" t="s">
        <v>143</v>
      </c>
      <c r="C18" s="13" t="s">
        <v>31</v>
      </c>
      <c r="D18" s="13" t="s">
        <v>144</v>
      </c>
      <c r="E18" s="13" t="s">
        <v>33</v>
      </c>
      <c r="F18" s="13" t="s">
        <v>34</v>
      </c>
      <c r="G18" s="13" t="s">
        <v>30</v>
      </c>
      <c r="H18" s="13" t="s">
        <v>145</v>
      </c>
      <c r="I18" s="13" t="s">
        <v>78</v>
      </c>
      <c r="J18" s="13" t="s">
        <v>146</v>
      </c>
      <c r="K18" s="13" t="s">
        <v>67</v>
      </c>
      <c r="L18" s="13" t="s">
        <v>50</v>
      </c>
      <c r="M18" s="15" t="s">
        <v>28</v>
      </c>
      <c r="N18" s="13" t="s">
        <v>133</v>
      </c>
      <c r="O18" s="16" t="s">
        <v>30</v>
      </c>
      <c r="P18" s="16" t="s">
        <v>61</v>
      </c>
      <c r="Q18" s="16">
        <v>19.0</v>
      </c>
      <c r="R18" s="17"/>
    </row>
    <row r="19" ht="22.5" customHeight="1">
      <c r="A19" s="12"/>
      <c r="B19" s="13" t="s">
        <v>147</v>
      </c>
      <c r="C19" s="14" t="s">
        <v>28</v>
      </c>
      <c r="D19" s="13" t="s">
        <v>55</v>
      </c>
      <c r="E19" s="13" t="s">
        <v>33</v>
      </c>
      <c r="F19" s="13" t="s">
        <v>103</v>
      </c>
      <c r="G19" s="13" t="s">
        <v>48</v>
      </c>
      <c r="H19" s="13" t="s">
        <v>148</v>
      </c>
      <c r="I19" s="13" t="s">
        <v>36</v>
      </c>
      <c r="J19" s="13" t="s">
        <v>141</v>
      </c>
      <c r="K19" s="13" t="s">
        <v>26</v>
      </c>
      <c r="L19" s="13" t="s">
        <v>39</v>
      </c>
      <c r="M19" s="15" t="s">
        <v>113</v>
      </c>
      <c r="N19" s="13" t="s">
        <v>149</v>
      </c>
      <c r="O19" s="16" t="s">
        <v>30</v>
      </c>
      <c r="P19" s="16" t="s">
        <v>61</v>
      </c>
      <c r="Q19" s="16">
        <v>19.0</v>
      </c>
      <c r="R19" s="17"/>
    </row>
    <row r="20" ht="22.5" customHeight="1">
      <c r="A20" s="12"/>
      <c r="B20" s="13" t="s">
        <v>150</v>
      </c>
      <c r="C20" s="13" t="s">
        <v>31</v>
      </c>
      <c r="D20" s="13" t="s">
        <v>151</v>
      </c>
      <c r="E20" s="13" t="s">
        <v>152</v>
      </c>
      <c r="F20" s="13" t="s">
        <v>21</v>
      </c>
      <c r="G20" s="13" t="s">
        <v>60</v>
      </c>
      <c r="H20" s="13" t="s">
        <v>153</v>
      </c>
      <c r="I20" s="13" t="s">
        <v>36</v>
      </c>
      <c r="J20" s="13" t="s">
        <v>154</v>
      </c>
      <c r="K20" s="13" t="s">
        <v>67</v>
      </c>
      <c r="L20" s="13" t="s">
        <v>39</v>
      </c>
      <c r="M20" s="15" t="s">
        <v>113</v>
      </c>
      <c r="N20" s="13" t="s">
        <v>155</v>
      </c>
      <c r="O20" s="16" t="s">
        <v>52</v>
      </c>
      <c r="P20" s="16" t="s">
        <v>61</v>
      </c>
      <c r="Q20" s="16">
        <v>19.0</v>
      </c>
      <c r="R20" s="17"/>
    </row>
    <row r="21" ht="22.5" customHeight="1">
      <c r="A21" s="12"/>
      <c r="B21" s="13" t="s">
        <v>156</v>
      </c>
      <c r="C21" s="13" t="s">
        <v>31</v>
      </c>
      <c r="D21" s="13" t="s">
        <v>157</v>
      </c>
      <c r="E21" s="13" t="s">
        <v>158</v>
      </c>
      <c r="F21" s="13" t="s">
        <v>47</v>
      </c>
      <c r="G21" s="13" t="s">
        <v>48</v>
      </c>
      <c r="H21" s="13" t="s">
        <v>159</v>
      </c>
      <c r="I21" s="13" t="s">
        <v>36</v>
      </c>
      <c r="J21" s="13" t="s">
        <v>66</v>
      </c>
      <c r="K21" s="13" t="s">
        <v>67</v>
      </c>
      <c r="L21" s="13" t="s">
        <v>39</v>
      </c>
      <c r="M21" s="15" t="s">
        <v>113</v>
      </c>
      <c r="N21" s="13" t="s">
        <v>160</v>
      </c>
      <c r="O21" s="16" t="s">
        <v>60</v>
      </c>
      <c r="P21" s="16" t="s">
        <v>43</v>
      </c>
      <c r="Q21" s="16">
        <v>16.0</v>
      </c>
      <c r="R21" s="17"/>
    </row>
    <row r="22" ht="22.5" customHeight="1">
      <c r="A22" s="12"/>
      <c r="B22" s="13" t="s">
        <v>161</v>
      </c>
      <c r="C22" s="14" t="s">
        <v>28</v>
      </c>
      <c r="D22" s="13" t="s">
        <v>55</v>
      </c>
      <c r="E22" s="13" t="s">
        <v>162</v>
      </c>
      <c r="F22" s="13" t="s">
        <v>103</v>
      </c>
      <c r="G22" s="13" t="s">
        <v>30</v>
      </c>
      <c r="H22" s="13" t="s">
        <v>163</v>
      </c>
      <c r="I22" s="13" t="s">
        <v>78</v>
      </c>
      <c r="J22" s="13" t="s">
        <v>164</v>
      </c>
      <c r="K22" s="13" t="s">
        <v>26</v>
      </c>
      <c r="L22" s="13" t="s">
        <v>39</v>
      </c>
      <c r="M22" s="15" t="s">
        <v>113</v>
      </c>
      <c r="N22" s="13" t="s">
        <v>165</v>
      </c>
      <c r="O22" s="16" t="s">
        <v>52</v>
      </c>
      <c r="P22" s="16" t="s">
        <v>61</v>
      </c>
      <c r="Q22" s="16">
        <v>20.0</v>
      </c>
      <c r="R22" s="17"/>
    </row>
    <row r="23" ht="22.5" customHeight="1">
      <c r="A23" s="12"/>
      <c r="B23" s="13" t="s">
        <v>166</v>
      </c>
      <c r="C23" s="14" t="s">
        <v>18</v>
      </c>
      <c r="D23" s="13" t="s">
        <v>167</v>
      </c>
      <c r="E23" s="13" t="s">
        <v>168</v>
      </c>
      <c r="F23" s="13" t="s">
        <v>34</v>
      </c>
      <c r="G23" s="13" t="s">
        <v>48</v>
      </c>
      <c r="H23" s="13" t="s">
        <v>169</v>
      </c>
      <c r="I23" s="13" t="s">
        <v>36</v>
      </c>
      <c r="J23" s="13" t="s">
        <v>170</v>
      </c>
      <c r="K23" s="13" t="s">
        <v>67</v>
      </c>
      <c r="L23" s="13" t="s">
        <v>27</v>
      </c>
      <c r="M23" s="15" t="s">
        <v>113</v>
      </c>
      <c r="N23" s="13" t="s">
        <v>171</v>
      </c>
      <c r="O23" s="16" t="s">
        <v>30</v>
      </c>
      <c r="P23" s="16" t="s">
        <v>43</v>
      </c>
      <c r="Q23" s="16">
        <v>19.0</v>
      </c>
      <c r="R23" s="17"/>
    </row>
    <row r="24" ht="22.5" customHeight="1">
      <c r="A24" s="12"/>
      <c r="B24" s="13" t="s">
        <v>172</v>
      </c>
      <c r="C24" s="14" t="s">
        <v>28</v>
      </c>
      <c r="D24" s="13" t="s">
        <v>173</v>
      </c>
      <c r="E24" s="13" t="s">
        <v>174</v>
      </c>
      <c r="F24" s="13" t="s">
        <v>78</v>
      </c>
      <c r="G24" s="13" t="s">
        <v>30</v>
      </c>
      <c r="H24" s="13" t="s">
        <v>175</v>
      </c>
      <c r="I24" s="13" t="s">
        <v>24</v>
      </c>
      <c r="J24" s="13" t="s">
        <v>123</v>
      </c>
      <c r="K24" s="13" t="s">
        <v>26</v>
      </c>
      <c r="L24" s="13" t="s">
        <v>39</v>
      </c>
      <c r="M24" s="15" t="s">
        <v>28</v>
      </c>
      <c r="N24" s="13" t="s">
        <v>51</v>
      </c>
      <c r="O24" s="16" t="s">
        <v>52</v>
      </c>
      <c r="P24" s="16" t="s">
        <v>61</v>
      </c>
      <c r="Q24" s="16">
        <v>18.0</v>
      </c>
      <c r="R24" s="17"/>
    </row>
    <row r="25" ht="22.5" customHeight="1">
      <c r="A25" s="12"/>
      <c r="B25" s="13" t="s">
        <v>176</v>
      </c>
      <c r="C25" s="14" t="s">
        <v>28</v>
      </c>
      <c r="D25" s="13" t="s">
        <v>177</v>
      </c>
      <c r="E25" s="13" t="s">
        <v>178</v>
      </c>
      <c r="F25" s="13" t="s">
        <v>21</v>
      </c>
      <c r="G25" s="13" t="s">
        <v>22</v>
      </c>
      <c r="H25" s="13" t="s">
        <v>179</v>
      </c>
      <c r="I25" s="13" t="s">
        <v>24</v>
      </c>
      <c r="J25" s="13" t="s">
        <v>180</v>
      </c>
      <c r="K25" s="13" t="s">
        <v>38</v>
      </c>
      <c r="L25" s="13" t="s">
        <v>50</v>
      </c>
      <c r="M25" s="15" t="s">
        <v>28</v>
      </c>
      <c r="N25" s="13" t="s">
        <v>181</v>
      </c>
      <c r="O25" s="16" t="s">
        <v>30</v>
      </c>
      <c r="P25" s="16" t="s">
        <v>43</v>
      </c>
      <c r="Q25" s="16">
        <v>19.0</v>
      </c>
      <c r="R25" s="17"/>
    </row>
    <row r="26" ht="22.5" customHeight="1">
      <c r="A26" s="12"/>
      <c r="B26" s="13" t="s">
        <v>182</v>
      </c>
      <c r="C26" s="14" t="s">
        <v>28</v>
      </c>
      <c r="D26" s="13" t="s">
        <v>183</v>
      </c>
      <c r="E26" s="13" t="s">
        <v>184</v>
      </c>
      <c r="F26" s="13" t="s">
        <v>103</v>
      </c>
      <c r="G26" s="13" t="s">
        <v>60</v>
      </c>
      <c r="H26" s="13" t="s">
        <v>185</v>
      </c>
      <c r="I26" s="13" t="s">
        <v>122</v>
      </c>
      <c r="J26" s="13" t="s">
        <v>180</v>
      </c>
      <c r="K26" s="13" t="s">
        <v>38</v>
      </c>
      <c r="L26" s="13" t="s">
        <v>50</v>
      </c>
      <c r="M26" s="15" t="s">
        <v>113</v>
      </c>
      <c r="N26" s="13" t="s">
        <v>186</v>
      </c>
      <c r="O26" s="16" t="s">
        <v>30</v>
      </c>
      <c r="P26" s="16" t="s">
        <v>43</v>
      </c>
      <c r="Q26" s="16">
        <v>19.0</v>
      </c>
      <c r="R26" s="17"/>
    </row>
    <row r="27" ht="22.5" customHeight="1">
      <c r="A27" s="12"/>
      <c r="B27" s="13" t="s">
        <v>187</v>
      </c>
      <c r="C27" s="14" t="s">
        <v>18</v>
      </c>
      <c r="D27" s="13" t="s">
        <v>188</v>
      </c>
      <c r="E27" s="13" t="s">
        <v>189</v>
      </c>
      <c r="F27" s="13" t="s">
        <v>21</v>
      </c>
      <c r="G27" s="13" t="s">
        <v>30</v>
      </c>
      <c r="H27" s="13" t="s">
        <v>190</v>
      </c>
      <c r="I27" s="13" t="s">
        <v>24</v>
      </c>
      <c r="J27" s="13" t="s">
        <v>25</v>
      </c>
      <c r="K27" s="13" t="s">
        <v>26</v>
      </c>
      <c r="L27" s="13" t="s">
        <v>50</v>
      </c>
      <c r="M27" s="15" t="s">
        <v>113</v>
      </c>
      <c r="N27" s="13" t="s">
        <v>191</v>
      </c>
      <c r="O27" s="16" t="s">
        <v>52</v>
      </c>
      <c r="P27" s="16" t="s">
        <v>61</v>
      </c>
      <c r="Q27" s="16">
        <v>23.0</v>
      </c>
      <c r="R27" s="17"/>
    </row>
    <row r="28" ht="22.5" customHeight="1">
      <c r="A28" s="12"/>
      <c r="B28" s="13" t="s">
        <v>192</v>
      </c>
      <c r="C28" s="13" t="s">
        <v>31</v>
      </c>
      <c r="D28" s="13" t="s">
        <v>193</v>
      </c>
      <c r="E28" s="13" t="s">
        <v>64</v>
      </c>
      <c r="F28" s="13" t="s">
        <v>34</v>
      </c>
      <c r="G28" s="13" t="s">
        <v>30</v>
      </c>
      <c r="H28" s="13" t="s">
        <v>194</v>
      </c>
      <c r="I28" s="13" t="s">
        <v>36</v>
      </c>
      <c r="J28" s="13" t="s">
        <v>195</v>
      </c>
      <c r="K28" s="13" t="s">
        <v>38</v>
      </c>
      <c r="L28" s="13" t="s">
        <v>39</v>
      </c>
      <c r="M28" s="15" t="s">
        <v>113</v>
      </c>
      <c r="N28" s="13" t="s">
        <v>196</v>
      </c>
      <c r="O28" s="16" t="s">
        <v>30</v>
      </c>
      <c r="P28" s="16" t="s">
        <v>43</v>
      </c>
      <c r="Q28" s="16">
        <v>17.0</v>
      </c>
      <c r="R28" s="17"/>
    </row>
    <row r="29" ht="22.5" customHeight="1">
      <c r="A29" s="12"/>
      <c r="B29" s="13" t="s">
        <v>197</v>
      </c>
      <c r="C29" s="14" t="s">
        <v>28</v>
      </c>
      <c r="D29" s="13" t="s">
        <v>151</v>
      </c>
      <c r="E29" s="13" t="s">
        <v>64</v>
      </c>
      <c r="F29" s="13" t="s">
        <v>21</v>
      </c>
      <c r="G29" s="13" t="s">
        <v>30</v>
      </c>
      <c r="H29" s="13" t="s">
        <v>198</v>
      </c>
      <c r="I29" s="13" t="s">
        <v>24</v>
      </c>
      <c r="J29" s="13" t="s">
        <v>99</v>
      </c>
      <c r="K29" s="13" t="s">
        <v>67</v>
      </c>
      <c r="L29" s="13" t="s">
        <v>39</v>
      </c>
      <c r="M29" s="15" t="s">
        <v>113</v>
      </c>
      <c r="N29" s="13" t="s">
        <v>133</v>
      </c>
      <c r="O29" s="16" t="s">
        <v>30</v>
      </c>
      <c r="P29" s="16" t="s">
        <v>61</v>
      </c>
      <c r="Q29" s="16">
        <v>19.0</v>
      </c>
      <c r="R29" s="17"/>
    </row>
    <row r="30" ht="22.5" customHeight="1">
      <c r="A30" s="12"/>
      <c r="B30" s="13" t="s">
        <v>199</v>
      </c>
      <c r="C30" s="13" t="s">
        <v>31</v>
      </c>
      <c r="D30" s="13" t="s">
        <v>102</v>
      </c>
      <c r="E30" s="13" t="s">
        <v>33</v>
      </c>
      <c r="F30" s="13" t="s">
        <v>200</v>
      </c>
      <c r="G30" s="13" t="s">
        <v>60</v>
      </c>
      <c r="H30" s="13" t="s">
        <v>201</v>
      </c>
      <c r="I30" s="13" t="s">
        <v>122</v>
      </c>
      <c r="J30" s="13" t="s">
        <v>141</v>
      </c>
      <c r="K30" s="13" t="s">
        <v>38</v>
      </c>
      <c r="L30" s="13" t="s">
        <v>27</v>
      </c>
      <c r="M30" s="15" t="s">
        <v>113</v>
      </c>
      <c r="N30" s="13" t="s">
        <v>68</v>
      </c>
      <c r="O30" s="16" t="s">
        <v>60</v>
      </c>
      <c r="P30" s="16" t="s">
        <v>61</v>
      </c>
      <c r="Q30" s="16">
        <v>17.0</v>
      </c>
      <c r="R30" s="17"/>
    </row>
    <row r="31" ht="22.5" customHeight="1">
      <c r="A31" s="12"/>
      <c r="B31" s="13" t="s">
        <v>91</v>
      </c>
      <c r="C31" s="14" t="s">
        <v>28</v>
      </c>
      <c r="D31" s="13" t="s">
        <v>55</v>
      </c>
      <c r="E31" s="13" t="s">
        <v>202</v>
      </c>
      <c r="F31" s="13" t="s">
        <v>21</v>
      </c>
      <c r="G31" s="13" t="s">
        <v>30</v>
      </c>
      <c r="H31" s="13" t="s">
        <v>203</v>
      </c>
      <c r="I31" s="13" t="s">
        <v>78</v>
      </c>
      <c r="J31" s="13" t="s">
        <v>204</v>
      </c>
      <c r="K31" s="13" t="s">
        <v>67</v>
      </c>
      <c r="L31" s="13" t="s">
        <v>39</v>
      </c>
      <c r="M31" s="15" t="s">
        <v>113</v>
      </c>
      <c r="N31" s="13" t="s">
        <v>205</v>
      </c>
      <c r="O31" s="16" t="s">
        <v>30</v>
      </c>
      <c r="P31" s="16" t="s">
        <v>61</v>
      </c>
      <c r="Q31" s="16">
        <v>19.0</v>
      </c>
      <c r="R31" s="17"/>
    </row>
    <row r="32" ht="22.5" customHeight="1">
      <c r="A32" s="12"/>
      <c r="B32" s="13" t="s">
        <v>206</v>
      </c>
      <c r="C32" s="13" t="s">
        <v>54</v>
      </c>
      <c r="D32" s="13" t="s">
        <v>207</v>
      </c>
      <c r="E32" s="13" t="s">
        <v>174</v>
      </c>
      <c r="F32" s="13" t="s">
        <v>21</v>
      </c>
      <c r="G32" s="13" t="s">
        <v>60</v>
      </c>
      <c r="H32" s="13" t="s">
        <v>208</v>
      </c>
      <c r="I32" s="13" t="s">
        <v>122</v>
      </c>
      <c r="J32" s="13" t="s">
        <v>112</v>
      </c>
      <c r="K32" s="13" t="s">
        <v>58</v>
      </c>
      <c r="L32" s="13" t="s">
        <v>27</v>
      </c>
      <c r="M32" s="16" t="s">
        <v>40</v>
      </c>
      <c r="N32" s="13" t="s">
        <v>209</v>
      </c>
      <c r="O32" s="16" t="s">
        <v>60</v>
      </c>
      <c r="P32" s="16" t="s">
        <v>61</v>
      </c>
      <c r="Q32" s="16">
        <v>18.0</v>
      </c>
    </row>
    <row r="33" ht="22.5" customHeight="1">
      <c r="A33" s="12"/>
      <c r="B33" s="13" t="s">
        <v>210</v>
      </c>
      <c r="C33" s="13" t="s">
        <v>31</v>
      </c>
      <c r="D33" s="13" t="s">
        <v>211</v>
      </c>
      <c r="E33" s="13" t="s">
        <v>64</v>
      </c>
      <c r="F33" s="13" t="s">
        <v>21</v>
      </c>
      <c r="G33" s="13" t="s">
        <v>48</v>
      </c>
      <c r="H33" s="13" t="s">
        <v>104</v>
      </c>
      <c r="I33" s="13" t="s">
        <v>105</v>
      </c>
      <c r="J33" s="13" t="s">
        <v>112</v>
      </c>
      <c r="K33" s="13" t="s">
        <v>38</v>
      </c>
      <c r="L33" s="13" t="s">
        <v>27</v>
      </c>
      <c r="M33" s="16">
        <v>0.0</v>
      </c>
      <c r="N33" s="13" t="s">
        <v>212</v>
      </c>
      <c r="O33" s="16" t="s">
        <v>42</v>
      </c>
      <c r="P33" s="16" t="s">
        <v>43</v>
      </c>
      <c r="Q33" s="16">
        <v>19.0</v>
      </c>
    </row>
    <row r="34" ht="22.5" customHeight="1">
      <c r="A34" s="12"/>
      <c r="B34" s="13" t="s">
        <v>213</v>
      </c>
      <c r="C34" s="13" t="s">
        <v>31</v>
      </c>
      <c r="D34" s="13" t="s">
        <v>214</v>
      </c>
      <c r="E34" s="13" t="s">
        <v>189</v>
      </c>
      <c r="F34" s="13" t="s">
        <v>103</v>
      </c>
      <c r="G34" s="13" t="s">
        <v>30</v>
      </c>
      <c r="H34" s="13" t="s">
        <v>215</v>
      </c>
      <c r="I34" s="13" t="s">
        <v>24</v>
      </c>
      <c r="J34" s="13" t="s">
        <v>170</v>
      </c>
      <c r="K34" s="13" t="s">
        <v>26</v>
      </c>
      <c r="L34" s="13" t="s">
        <v>107</v>
      </c>
      <c r="M34" s="16">
        <v>0.0</v>
      </c>
      <c r="N34" s="13" t="s">
        <v>216</v>
      </c>
      <c r="O34" s="16" t="s">
        <v>30</v>
      </c>
      <c r="P34" s="16" t="s">
        <v>61</v>
      </c>
      <c r="Q34" s="16">
        <v>17.0</v>
      </c>
    </row>
    <row r="35" ht="22.5" customHeight="1">
      <c r="A35" s="12"/>
      <c r="B35" s="13" t="s">
        <v>217</v>
      </c>
      <c r="C35" s="13" t="s">
        <v>31</v>
      </c>
      <c r="D35" s="13" t="s">
        <v>151</v>
      </c>
      <c r="E35" s="13" t="s">
        <v>218</v>
      </c>
      <c r="F35" s="13" t="s">
        <v>34</v>
      </c>
      <c r="G35" s="13" t="s">
        <v>30</v>
      </c>
      <c r="H35" s="13" t="s">
        <v>219</v>
      </c>
      <c r="I35" s="13" t="s">
        <v>122</v>
      </c>
      <c r="J35" s="13" t="s">
        <v>123</v>
      </c>
      <c r="K35" s="13" t="s">
        <v>26</v>
      </c>
      <c r="L35" s="13" t="s">
        <v>50</v>
      </c>
      <c r="M35" s="16" t="s">
        <v>40</v>
      </c>
      <c r="N35" s="13" t="s">
        <v>133</v>
      </c>
      <c r="O35" s="16" t="s">
        <v>42</v>
      </c>
      <c r="P35" s="16" t="s">
        <v>43</v>
      </c>
      <c r="Q35" s="16">
        <v>18.0</v>
      </c>
    </row>
    <row r="36" ht="22.5" customHeight="1">
      <c r="A36" s="12"/>
      <c r="B36" s="13" t="s">
        <v>220</v>
      </c>
      <c r="C36" s="13" t="s">
        <v>31</v>
      </c>
      <c r="D36" s="13" t="s">
        <v>221</v>
      </c>
      <c r="E36" s="13" t="s">
        <v>33</v>
      </c>
      <c r="F36" s="13" t="s">
        <v>200</v>
      </c>
      <c r="G36" s="13" t="s">
        <v>30</v>
      </c>
      <c r="H36" s="13" t="s">
        <v>222</v>
      </c>
      <c r="I36" s="13" t="s">
        <v>24</v>
      </c>
      <c r="J36" s="13" t="s">
        <v>123</v>
      </c>
      <c r="K36" s="13" t="s">
        <v>26</v>
      </c>
      <c r="L36" s="13" t="s">
        <v>50</v>
      </c>
      <c r="M36" s="16" t="s">
        <v>40</v>
      </c>
      <c r="N36" s="13" t="s">
        <v>223</v>
      </c>
      <c r="O36" s="16" t="s">
        <v>60</v>
      </c>
      <c r="P36" s="16" t="s">
        <v>43</v>
      </c>
      <c r="Q36" s="16">
        <v>21.0</v>
      </c>
    </row>
    <row r="37" ht="22.5" customHeight="1">
      <c r="A37" s="12"/>
      <c r="B37" s="13" t="s">
        <v>224</v>
      </c>
      <c r="C37" s="13" t="s">
        <v>54</v>
      </c>
      <c r="D37" s="13" t="s">
        <v>225</v>
      </c>
      <c r="E37" s="13" t="s">
        <v>20</v>
      </c>
      <c r="F37" s="13" t="s">
        <v>21</v>
      </c>
      <c r="G37" s="13" t="s">
        <v>30</v>
      </c>
      <c r="H37" s="13" t="s">
        <v>226</v>
      </c>
      <c r="I37" s="13" t="s">
        <v>24</v>
      </c>
      <c r="J37" s="13" t="s">
        <v>227</v>
      </c>
      <c r="K37" s="13" t="s">
        <v>67</v>
      </c>
      <c r="L37" s="13" t="s">
        <v>27</v>
      </c>
      <c r="M37" s="15" t="s">
        <v>113</v>
      </c>
      <c r="N37" s="13" t="s">
        <v>171</v>
      </c>
      <c r="O37" s="16" t="s">
        <v>52</v>
      </c>
      <c r="P37" s="16" t="s">
        <v>61</v>
      </c>
      <c r="Q37" s="16">
        <v>18.0</v>
      </c>
    </row>
    <row r="38" ht="22.5" customHeight="1">
      <c r="A38" s="12"/>
      <c r="C38" s="13" t="s">
        <v>31</v>
      </c>
      <c r="D38" s="13" t="s">
        <v>228</v>
      </c>
      <c r="E38" s="13" t="s">
        <v>229</v>
      </c>
      <c r="F38" s="13" t="s">
        <v>78</v>
      </c>
      <c r="G38" s="13" t="s">
        <v>48</v>
      </c>
      <c r="H38" s="13" t="s">
        <v>230</v>
      </c>
      <c r="I38" s="13" t="s">
        <v>122</v>
      </c>
      <c r="J38" s="13" t="s">
        <v>231</v>
      </c>
      <c r="K38" s="13" t="s">
        <v>232</v>
      </c>
      <c r="L38" s="13" t="s">
        <v>107</v>
      </c>
      <c r="M38" s="15" t="s">
        <v>113</v>
      </c>
      <c r="N38" s="13" t="s">
        <v>108</v>
      </c>
      <c r="O38" s="16" t="s">
        <v>60</v>
      </c>
      <c r="P38" s="16" t="s">
        <v>61</v>
      </c>
      <c r="Q38" s="16">
        <v>19.0</v>
      </c>
    </row>
    <row r="39" ht="22.5" customHeight="1">
      <c r="A39" s="12"/>
      <c r="B39" s="13" t="s">
        <v>233</v>
      </c>
      <c r="C39" s="14" t="s">
        <v>28</v>
      </c>
      <c r="D39" s="13" t="s">
        <v>151</v>
      </c>
      <c r="E39" s="13" t="s">
        <v>33</v>
      </c>
      <c r="F39" s="13" t="s">
        <v>78</v>
      </c>
      <c r="G39" s="13" t="s">
        <v>30</v>
      </c>
      <c r="H39" s="13" t="s">
        <v>57</v>
      </c>
      <c r="I39" s="13" t="s">
        <v>24</v>
      </c>
      <c r="J39" s="13" t="s">
        <v>37</v>
      </c>
      <c r="K39" s="13" t="s">
        <v>26</v>
      </c>
      <c r="L39" s="13" t="s">
        <v>39</v>
      </c>
      <c r="M39" s="15" t="s">
        <v>28</v>
      </c>
      <c r="N39" s="13" t="s">
        <v>234</v>
      </c>
      <c r="O39" s="16" t="s">
        <v>52</v>
      </c>
      <c r="P39" s="16" t="s">
        <v>61</v>
      </c>
      <c r="Q39" s="16">
        <v>19.0</v>
      </c>
    </row>
    <row r="40" ht="22.5" customHeight="1">
      <c r="A40" s="12"/>
      <c r="B40" s="13" t="s">
        <v>235</v>
      </c>
      <c r="C40" s="13" t="s">
        <v>31</v>
      </c>
      <c r="D40" s="13" t="s">
        <v>236</v>
      </c>
      <c r="E40" s="13" t="s">
        <v>237</v>
      </c>
      <c r="F40" s="13" t="s">
        <v>21</v>
      </c>
      <c r="G40" s="13" t="s">
        <v>60</v>
      </c>
      <c r="H40" s="13" t="s">
        <v>238</v>
      </c>
      <c r="I40" s="13" t="s">
        <v>122</v>
      </c>
      <c r="J40" s="13" t="s">
        <v>239</v>
      </c>
      <c r="K40" s="13" t="s">
        <v>67</v>
      </c>
      <c r="L40" s="13" t="s">
        <v>27</v>
      </c>
      <c r="M40" s="16">
        <v>0.0</v>
      </c>
      <c r="N40" s="13" t="s">
        <v>124</v>
      </c>
      <c r="O40" s="16" t="s">
        <v>52</v>
      </c>
      <c r="P40" s="16" t="s">
        <v>61</v>
      </c>
      <c r="Q40" s="16">
        <v>19.0</v>
      </c>
    </row>
    <row r="41" ht="22.5" customHeight="1">
      <c r="A41" s="12"/>
      <c r="B41" s="13" t="s">
        <v>240</v>
      </c>
      <c r="C41" s="14" t="s">
        <v>28</v>
      </c>
      <c r="D41" s="13" t="s">
        <v>55</v>
      </c>
      <c r="E41" s="13" t="s">
        <v>33</v>
      </c>
      <c r="F41" s="13" t="s">
        <v>200</v>
      </c>
      <c r="G41" s="13" t="s">
        <v>60</v>
      </c>
      <c r="H41" s="13" t="s">
        <v>241</v>
      </c>
      <c r="I41" s="13" t="s">
        <v>36</v>
      </c>
      <c r="J41" s="13" t="s">
        <v>37</v>
      </c>
      <c r="K41" s="13" t="s">
        <v>26</v>
      </c>
      <c r="L41" s="13" t="s">
        <v>50</v>
      </c>
      <c r="M41" s="16">
        <v>0.0</v>
      </c>
      <c r="N41" s="13" t="s">
        <v>124</v>
      </c>
      <c r="O41" s="16" t="s">
        <v>30</v>
      </c>
      <c r="P41" s="16" t="s">
        <v>61</v>
      </c>
      <c r="Q41" s="16">
        <v>20.0</v>
      </c>
    </row>
    <row r="42" ht="22.5" customHeight="1">
      <c r="A42" s="12"/>
      <c r="C42" s="14" t="s">
        <v>28</v>
      </c>
      <c r="D42" s="13" t="s">
        <v>207</v>
      </c>
      <c r="E42" s="13" t="s">
        <v>64</v>
      </c>
      <c r="F42" s="13" t="s">
        <v>34</v>
      </c>
      <c r="G42" s="13" t="s">
        <v>60</v>
      </c>
      <c r="H42" s="13" t="s">
        <v>145</v>
      </c>
      <c r="I42" s="13" t="s">
        <v>24</v>
      </c>
      <c r="J42" s="13" t="s">
        <v>146</v>
      </c>
      <c r="K42" s="13" t="s">
        <v>67</v>
      </c>
      <c r="L42" s="13" t="s">
        <v>27</v>
      </c>
      <c r="M42" s="15" t="s">
        <v>113</v>
      </c>
      <c r="N42" s="13" t="s">
        <v>242</v>
      </c>
      <c r="O42" s="16" t="s">
        <v>52</v>
      </c>
      <c r="P42" s="16" t="s">
        <v>61</v>
      </c>
      <c r="Q42" s="16">
        <v>18.0</v>
      </c>
    </row>
    <row r="43" ht="22.5" customHeight="1">
      <c r="A43" s="12"/>
      <c r="B43" s="13" t="s">
        <v>243</v>
      </c>
      <c r="C43" s="13" t="s">
        <v>54</v>
      </c>
      <c r="D43" s="13" t="s">
        <v>244</v>
      </c>
      <c r="E43" s="13" t="s">
        <v>245</v>
      </c>
      <c r="F43" s="13" t="s">
        <v>103</v>
      </c>
      <c r="G43" s="13" t="s">
        <v>60</v>
      </c>
      <c r="H43" s="13" t="s">
        <v>246</v>
      </c>
      <c r="I43" s="13" t="s">
        <v>36</v>
      </c>
      <c r="J43" s="13" t="s">
        <v>247</v>
      </c>
      <c r="K43" s="13" t="s">
        <v>26</v>
      </c>
      <c r="L43" s="13" t="s">
        <v>50</v>
      </c>
      <c r="M43" s="16" t="s">
        <v>40</v>
      </c>
      <c r="N43" s="13" t="s">
        <v>248</v>
      </c>
      <c r="O43" s="16" t="s">
        <v>60</v>
      </c>
      <c r="P43" s="16" t="s">
        <v>43</v>
      </c>
      <c r="Q43" s="16">
        <v>18.0</v>
      </c>
    </row>
    <row r="44" ht="22.5" customHeight="1">
      <c r="A44" s="12"/>
      <c r="B44" s="13" t="s">
        <v>249</v>
      </c>
      <c r="C44" s="14" t="s">
        <v>28</v>
      </c>
      <c r="D44" s="13" t="s">
        <v>250</v>
      </c>
      <c r="E44" s="13" t="s">
        <v>33</v>
      </c>
      <c r="F44" s="13" t="s">
        <v>103</v>
      </c>
      <c r="G44" s="13" t="s">
        <v>30</v>
      </c>
      <c r="H44" s="13" t="s">
        <v>251</v>
      </c>
      <c r="I44" s="13" t="s">
        <v>24</v>
      </c>
      <c r="J44" s="13" t="s">
        <v>37</v>
      </c>
      <c r="K44" s="13" t="s">
        <v>26</v>
      </c>
      <c r="L44" s="13" t="s">
        <v>39</v>
      </c>
      <c r="M44" s="15" t="s">
        <v>113</v>
      </c>
      <c r="N44" s="13" t="s">
        <v>252</v>
      </c>
      <c r="O44" s="16" t="s">
        <v>30</v>
      </c>
      <c r="P44" s="16" t="s">
        <v>61</v>
      </c>
      <c r="Q44" s="16">
        <v>19.0</v>
      </c>
    </row>
    <row r="45" ht="22.5" customHeight="1">
      <c r="A45" s="12"/>
      <c r="B45" s="13" t="s">
        <v>253</v>
      </c>
      <c r="C45" s="14" t="s">
        <v>28</v>
      </c>
      <c r="D45" s="13" t="s">
        <v>254</v>
      </c>
      <c r="E45" s="13" t="s">
        <v>255</v>
      </c>
      <c r="F45" s="13" t="s">
        <v>78</v>
      </c>
      <c r="G45" s="13" t="s">
        <v>30</v>
      </c>
      <c r="H45" s="13" t="s">
        <v>256</v>
      </c>
      <c r="I45" s="13" t="s">
        <v>24</v>
      </c>
      <c r="J45" s="13" t="s">
        <v>257</v>
      </c>
      <c r="K45" s="13" t="s">
        <v>67</v>
      </c>
      <c r="L45" s="13" t="s">
        <v>50</v>
      </c>
      <c r="M45" s="15" t="s">
        <v>28</v>
      </c>
      <c r="N45" s="13" t="s">
        <v>258</v>
      </c>
      <c r="O45" s="16" t="s">
        <v>52</v>
      </c>
      <c r="P45" s="16" t="s">
        <v>43</v>
      </c>
      <c r="Q45" s="16">
        <v>20.0</v>
      </c>
    </row>
    <row r="46" ht="22.5" customHeight="1">
      <c r="A46" s="12"/>
      <c r="B46" s="13" t="s">
        <v>259</v>
      </c>
      <c r="C46" s="13" t="s">
        <v>31</v>
      </c>
      <c r="D46" s="13" t="s">
        <v>260</v>
      </c>
      <c r="E46" s="13" t="s">
        <v>33</v>
      </c>
      <c r="F46" s="13" t="s">
        <v>21</v>
      </c>
      <c r="G46" s="13" t="s">
        <v>30</v>
      </c>
      <c r="H46" s="13" t="s">
        <v>261</v>
      </c>
      <c r="I46" s="13" t="s">
        <v>24</v>
      </c>
      <c r="J46" s="13" t="s">
        <v>247</v>
      </c>
      <c r="K46" s="13" t="s">
        <v>26</v>
      </c>
      <c r="L46" s="13" t="s">
        <v>27</v>
      </c>
      <c r="M46" s="16">
        <v>0.0</v>
      </c>
      <c r="N46" s="13" t="s">
        <v>262</v>
      </c>
      <c r="O46" s="16" t="s">
        <v>60</v>
      </c>
      <c r="P46" s="16" t="s">
        <v>61</v>
      </c>
      <c r="Q46" s="16">
        <v>17.0</v>
      </c>
    </row>
    <row r="47" ht="22.5" customHeight="1">
      <c r="A47" s="12"/>
      <c r="B47" s="13" t="s">
        <v>263</v>
      </c>
      <c r="C47" s="14" t="s">
        <v>18</v>
      </c>
      <c r="D47" s="13" t="s">
        <v>264</v>
      </c>
      <c r="E47" s="13" t="s">
        <v>265</v>
      </c>
      <c r="F47" s="13" t="s">
        <v>21</v>
      </c>
      <c r="G47" s="13" t="s">
        <v>48</v>
      </c>
      <c r="H47" s="13" t="s">
        <v>35</v>
      </c>
      <c r="I47" s="13" t="s">
        <v>36</v>
      </c>
      <c r="J47" s="13" t="s">
        <v>227</v>
      </c>
      <c r="K47" s="13" t="s">
        <v>67</v>
      </c>
      <c r="L47" s="13" t="s">
        <v>39</v>
      </c>
      <c r="M47" s="16">
        <v>0.0</v>
      </c>
      <c r="N47" s="13" t="s">
        <v>266</v>
      </c>
      <c r="O47" s="16" t="s">
        <v>42</v>
      </c>
      <c r="P47" s="16" t="s">
        <v>43</v>
      </c>
      <c r="Q47" s="16">
        <v>19.0</v>
      </c>
    </row>
    <row r="48" ht="22.5" customHeight="1">
      <c r="A48" s="12"/>
      <c r="B48" s="13" t="s">
        <v>267</v>
      </c>
      <c r="C48" s="13" t="s">
        <v>31</v>
      </c>
      <c r="D48" s="13" t="s">
        <v>268</v>
      </c>
      <c r="E48" s="13" t="s">
        <v>64</v>
      </c>
      <c r="F48" s="13" t="s">
        <v>34</v>
      </c>
      <c r="G48" s="13" t="s">
        <v>30</v>
      </c>
      <c r="H48" s="13" t="s">
        <v>269</v>
      </c>
      <c r="I48" s="13" t="s">
        <v>24</v>
      </c>
      <c r="J48" s="13" t="s">
        <v>95</v>
      </c>
      <c r="K48" s="13" t="s">
        <v>26</v>
      </c>
      <c r="L48" s="13" t="s">
        <v>39</v>
      </c>
      <c r="M48" s="15" t="s">
        <v>113</v>
      </c>
      <c r="N48" s="13" t="s">
        <v>270</v>
      </c>
      <c r="O48" s="16" t="s">
        <v>30</v>
      </c>
      <c r="P48" s="16" t="s">
        <v>61</v>
      </c>
      <c r="Q48" s="16">
        <v>19.0</v>
      </c>
    </row>
    <row r="49" ht="22.5" customHeight="1">
      <c r="A49" s="12"/>
      <c r="B49" s="13" t="s">
        <v>271</v>
      </c>
      <c r="C49" s="13" t="s">
        <v>31</v>
      </c>
      <c r="D49" s="13" t="s">
        <v>151</v>
      </c>
      <c r="E49" s="13" t="s">
        <v>33</v>
      </c>
      <c r="F49" s="13" t="s">
        <v>200</v>
      </c>
      <c r="G49" s="13" t="s">
        <v>30</v>
      </c>
      <c r="H49" s="13" t="s">
        <v>272</v>
      </c>
      <c r="I49" s="13" t="s">
        <v>24</v>
      </c>
      <c r="J49" s="13" t="s">
        <v>37</v>
      </c>
      <c r="K49" s="13" t="s">
        <v>67</v>
      </c>
      <c r="L49" s="13" t="s">
        <v>27</v>
      </c>
      <c r="M49" s="16">
        <v>0.0</v>
      </c>
      <c r="N49" s="13" t="s">
        <v>124</v>
      </c>
      <c r="O49" s="16" t="s">
        <v>30</v>
      </c>
      <c r="P49" s="16" t="s">
        <v>61</v>
      </c>
      <c r="Q49" s="16">
        <v>19.0</v>
      </c>
    </row>
    <row r="50" ht="22.5" customHeight="1">
      <c r="A50" s="12"/>
      <c r="B50" s="13" t="s">
        <v>273</v>
      </c>
      <c r="C50" s="13" t="s">
        <v>31</v>
      </c>
      <c r="D50" s="13" t="s">
        <v>151</v>
      </c>
      <c r="E50" s="13" t="s">
        <v>64</v>
      </c>
      <c r="F50" s="13" t="s">
        <v>78</v>
      </c>
      <c r="G50" s="13" t="s">
        <v>60</v>
      </c>
      <c r="H50" s="13" t="s">
        <v>274</v>
      </c>
      <c r="I50" s="13" t="s">
        <v>36</v>
      </c>
      <c r="J50" s="13" t="s">
        <v>112</v>
      </c>
      <c r="K50" s="13" t="s">
        <v>26</v>
      </c>
      <c r="L50" s="13" t="s">
        <v>39</v>
      </c>
      <c r="M50" s="15" t="s">
        <v>28</v>
      </c>
      <c r="N50" s="13" t="s">
        <v>275</v>
      </c>
      <c r="O50" s="16" t="s">
        <v>30</v>
      </c>
      <c r="P50" s="16" t="s">
        <v>43</v>
      </c>
      <c r="Q50" s="16">
        <v>18.0</v>
      </c>
    </row>
    <row r="51" ht="22.5" customHeight="1">
      <c r="A51" s="12"/>
      <c r="B51" s="13" t="s">
        <v>276</v>
      </c>
      <c r="C51" s="14" t="s">
        <v>28</v>
      </c>
      <c r="D51" s="13" t="s">
        <v>277</v>
      </c>
      <c r="E51" s="13" t="s">
        <v>64</v>
      </c>
      <c r="F51" s="13" t="s">
        <v>103</v>
      </c>
      <c r="G51" s="13" t="s">
        <v>30</v>
      </c>
      <c r="H51" s="13" t="s">
        <v>278</v>
      </c>
      <c r="I51" s="13" t="s">
        <v>24</v>
      </c>
      <c r="J51" s="13" t="s">
        <v>279</v>
      </c>
      <c r="K51" s="13" t="s">
        <v>26</v>
      </c>
      <c r="L51" s="13" t="s">
        <v>50</v>
      </c>
      <c r="M51" s="15" t="s">
        <v>113</v>
      </c>
      <c r="N51" s="13" t="s">
        <v>280</v>
      </c>
      <c r="O51" s="16" t="s">
        <v>42</v>
      </c>
      <c r="P51" s="16" t="s">
        <v>61</v>
      </c>
      <c r="Q51" s="16">
        <v>19.0</v>
      </c>
    </row>
    <row r="52" ht="22.5" customHeight="1">
      <c r="A52" s="12"/>
      <c r="B52" s="13" t="s">
        <v>281</v>
      </c>
      <c r="C52" s="14" t="s">
        <v>28</v>
      </c>
      <c r="D52" s="13" t="s">
        <v>282</v>
      </c>
      <c r="E52" s="13" t="s">
        <v>202</v>
      </c>
      <c r="F52" s="13" t="s">
        <v>34</v>
      </c>
      <c r="G52" s="13" t="s">
        <v>30</v>
      </c>
      <c r="H52" s="13" t="s">
        <v>283</v>
      </c>
      <c r="I52" s="13" t="s">
        <v>24</v>
      </c>
      <c r="J52" s="13" t="s">
        <v>284</v>
      </c>
      <c r="K52" s="13" t="s">
        <v>26</v>
      </c>
      <c r="L52" s="13" t="s">
        <v>50</v>
      </c>
      <c r="M52" s="15" t="s">
        <v>113</v>
      </c>
      <c r="N52" s="13" t="s">
        <v>285</v>
      </c>
      <c r="O52" s="16" t="s">
        <v>52</v>
      </c>
      <c r="P52" s="16" t="s">
        <v>43</v>
      </c>
      <c r="Q52" s="16">
        <v>19.0</v>
      </c>
    </row>
    <row r="53" ht="22.5" customHeight="1">
      <c r="A53" s="12"/>
      <c r="B53" s="13" t="s">
        <v>286</v>
      </c>
      <c r="C53" s="13" t="s">
        <v>31</v>
      </c>
      <c r="D53" s="13" t="s">
        <v>287</v>
      </c>
      <c r="E53" s="13" t="s">
        <v>202</v>
      </c>
      <c r="F53" s="13" t="s">
        <v>21</v>
      </c>
      <c r="G53" s="13" t="s">
        <v>48</v>
      </c>
      <c r="H53" s="13" t="s">
        <v>288</v>
      </c>
      <c r="I53" s="13" t="s">
        <v>122</v>
      </c>
      <c r="J53" s="13" t="s">
        <v>112</v>
      </c>
      <c r="K53" s="13" t="s">
        <v>232</v>
      </c>
      <c r="L53" s="13" t="s">
        <v>27</v>
      </c>
      <c r="M53" s="15" t="s">
        <v>113</v>
      </c>
      <c r="N53" s="13" t="s">
        <v>84</v>
      </c>
      <c r="O53" s="16" t="s">
        <v>30</v>
      </c>
      <c r="P53" s="16" t="s">
        <v>43</v>
      </c>
      <c r="Q53" s="16">
        <v>19.0</v>
      </c>
    </row>
    <row r="54" ht="22.5" customHeight="1">
      <c r="A54" s="12"/>
      <c r="C54" s="14" t="s">
        <v>28</v>
      </c>
      <c r="D54" s="13" t="s">
        <v>151</v>
      </c>
      <c r="E54" s="13" t="s">
        <v>64</v>
      </c>
      <c r="F54" s="13" t="s">
        <v>103</v>
      </c>
      <c r="G54" s="13" t="s">
        <v>48</v>
      </c>
      <c r="H54" s="13" t="s">
        <v>289</v>
      </c>
      <c r="I54" s="13" t="s">
        <v>122</v>
      </c>
      <c r="J54" s="13" t="s">
        <v>95</v>
      </c>
      <c r="K54" s="13" t="s">
        <v>67</v>
      </c>
      <c r="L54" s="13" t="s">
        <v>50</v>
      </c>
      <c r="M54" s="15" t="s">
        <v>113</v>
      </c>
      <c r="N54" s="13" t="s">
        <v>186</v>
      </c>
      <c r="O54" s="16" t="s">
        <v>30</v>
      </c>
      <c r="P54" s="16" t="s">
        <v>61</v>
      </c>
      <c r="Q54" s="16">
        <v>19.0</v>
      </c>
    </row>
    <row r="55" ht="22.5" customHeight="1">
      <c r="A55" s="12"/>
      <c r="B55" s="13" t="s">
        <v>290</v>
      </c>
      <c r="C55" s="14" t="s">
        <v>28</v>
      </c>
      <c r="D55" s="13" t="s">
        <v>291</v>
      </c>
      <c r="E55" s="13" t="s">
        <v>202</v>
      </c>
      <c r="F55" s="13" t="s">
        <v>21</v>
      </c>
      <c r="G55" s="13" t="s">
        <v>30</v>
      </c>
      <c r="H55" s="13" t="s">
        <v>292</v>
      </c>
      <c r="I55" s="13" t="s">
        <v>122</v>
      </c>
      <c r="J55" s="13" t="s">
        <v>112</v>
      </c>
      <c r="K55" s="13" t="s">
        <v>38</v>
      </c>
      <c r="L55" s="13" t="s">
        <v>50</v>
      </c>
      <c r="M55" s="15" t="s">
        <v>113</v>
      </c>
      <c r="N55" s="13" t="s">
        <v>165</v>
      </c>
      <c r="O55" s="16" t="s">
        <v>60</v>
      </c>
      <c r="P55" s="16" t="s">
        <v>43</v>
      </c>
      <c r="Q55" s="16">
        <v>20.0</v>
      </c>
    </row>
    <row r="56" ht="22.5" customHeight="1">
      <c r="A56" s="12"/>
      <c r="B56" s="13" t="s">
        <v>293</v>
      </c>
      <c r="C56" s="13" t="s">
        <v>31</v>
      </c>
      <c r="D56" s="13" t="s">
        <v>151</v>
      </c>
      <c r="E56" s="13" t="s">
        <v>158</v>
      </c>
      <c r="F56" s="13" t="s">
        <v>78</v>
      </c>
      <c r="G56" s="13" t="s">
        <v>60</v>
      </c>
      <c r="H56" s="13" t="s">
        <v>294</v>
      </c>
      <c r="I56" s="13" t="s">
        <v>36</v>
      </c>
      <c r="J56" s="13" t="s">
        <v>141</v>
      </c>
      <c r="K56" s="13" t="s">
        <v>26</v>
      </c>
      <c r="L56" s="13" t="s">
        <v>50</v>
      </c>
      <c r="M56" s="15" t="s">
        <v>113</v>
      </c>
      <c r="N56" s="13" t="s">
        <v>275</v>
      </c>
      <c r="O56" s="16" t="s">
        <v>60</v>
      </c>
      <c r="P56" s="16" t="s">
        <v>61</v>
      </c>
      <c r="Q56" s="16">
        <v>18.0</v>
      </c>
    </row>
    <row r="57" ht="22.5" customHeight="1">
      <c r="A57" s="12"/>
      <c r="B57" s="13" t="s">
        <v>295</v>
      </c>
      <c r="C57" s="14" t="s">
        <v>28</v>
      </c>
      <c r="D57" s="13" t="s">
        <v>296</v>
      </c>
      <c r="E57" s="13" t="s">
        <v>237</v>
      </c>
      <c r="F57" s="13" t="s">
        <v>34</v>
      </c>
      <c r="G57" s="13" t="s">
        <v>30</v>
      </c>
      <c r="H57" s="13" t="s">
        <v>297</v>
      </c>
      <c r="I57" s="13" t="s">
        <v>24</v>
      </c>
      <c r="J57" s="13" t="s">
        <v>298</v>
      </c>
      <c r="K57" s="13" t="s">
        <v>67</v>
      </c>
      <c r="L57" s="13" t="s">
        <v>27</v>
      </c>
      <c r="M57" s="15" t="s">
        <v>113</v>
      </c>
      <c r="N57" s="13" t="s">
        <v>299</v>
      </c>
      <c r="O57" s="16" t="s">
        <v>42</v>
      </c>
      <c r="P57" s="16" t="s">
        <v>61</v>
      </c>
      <c r="Q57" s="16">
        <v>18.0</v>
      </c>
    </row>
    <row r="58" ht="22.5" customHeight="1">
      <c r="A58" s="12"/>
      <c r="B58" s="13" t="s">
        <v>300</v>
      </c>
      <c r="C58" s="14" t="s">
        <v>28</v>
      </c>
      <c r="D58" s="13" t="s">
        <v>236</v>
      </c>
      <c r="E58" s="13" t="s">
        <v>202</v>
      </c>
      <c r="F58" s="13" t="s">
        <v>21</v>
      </c>
      <c r="G58" s="13" t="s">
        <v>60</v>
      </c>
      <c r="H58" s="13" t="s">
        <v>301</v>
      </c>
      <c r="I58" s="13" t="s">
        <v>36</v>
      </c>
      <c r="J58" s="13" t="s">
        <v>37</v>
      </c>
      <c r="K58" s="13" t="s">
        <v>67</v>
      </c>
      <c r="L58" s="13" t="s">
        <v>27</v>
      </c>
      <c r="M58" s="15" t="s">
        <v>28</v>
      </c>
      <c r="N58" s="13" t="s">
        <v>302</v>
      </c>
      <c r="O58" s="16" t="s">
        <v>60</v>
      </c>
      <c r="P58" s="16" t="s">
        <v>43</v>
      </c>
      <c r="Q58" s="16">
        <v>19.0</v>
      </c>
    </row>
    <row r="59" ht="22.5" customHeight="1">
      <c r="A59" s="12"/>
      <c r="B59" s="13" t="s">
        <v>303</v>
      </c>
      <c r="C59" s="13" t="s">
        <v>31</v>
      </c>
      <c r="D59" s="13" t="s">
        <v>55</v>
      </c>
      <c r="E59" s="13" t="s">
        <v>64</v>
      </c>
      <c r="F59" s="13" t="s">
        <v>78</v>
      </c>
      <c r="G59" s="13" t="s">
        <v>30</v>
      </c>
      <c r="H59" s="13" t="s">
        <v>304</v>
      </c>
      <c r="I59" s="13" t="s">
        <v>122</v>
      </c>
      <c r="J59" s="13" t="s">
        <v>141</v>
      </c>
      <c r="K59" s="13" t="s">
        <v>38</v>
      </c>
      <c r="L59" s="13" t="s">
        <v>27</v>
      </c>
      <c r="M59" s="15" t="s">
        <v>28</v>
      </c>
      <c r="N59" s="13" t="s">
        <v>305</v>
      </c>
      <c r="O59" s="16" t="s">
        <v>42</v>
      </c>
      <c r="P59" s="16" t="s">
        <v>61</v>
      </c>
      <c r="Q59" s="16">
        <v>18.0</v>
      </c>
    </row>
    <row r="60" ht="22.5" customHeight="1">
      <c r="A60" s="12"/>
      <c r="B60" s="13" t="s">
        <v>306</v>
      </c>
      <c r="C60" s="13" t="s">
        <v>31</v>
      </c>
      <c r="D60" s="13" t="s">
        <v>211</v>
      </c>
      <c r="E60" s="13" t="s">
        <v>202</v>
      </c>
      <c r="F60" s="13" t="s">
        <v>21</v>
      </c>
      <c r="G60" s="13" t="s">
        <v>60</v>
      </c>
      <c r="H60" s="13" t="s">
        <v>307</v>
      </c>
      <c r="I60" s="13" t="s">
        <v>78</v>
      </c>
      <c r="J60" s="13" t="s">
        <v>112</v>
      </c>
      <c r="K60" s="13" t="s">
        <v>26</v>
      </c>
      <c r="L60" s="13" t="s">
        <v>39</v>
      </c>
      <c r="M60" s="15" t="s">
        <v>28</v>
      </c>
      <c r="N60" s="13" t="s">
        <v>308</v>
      </c>
      <c r="O60" s="16" t="s">
        <v>60</v>
      </c>
      <c r="P60" s="16" t="s">
        <v>43</v>
      </c>
      <c r="Q60" s="16">
        <v>19.0</v>
      </c>
    </row>
    <row r="61" ht="22.5" customHeight="1">
      <c r="A61" s="12"/>
      <c r="B61" s="13" t="s">
        <v>309</v>
      </c>
      <c r="C61" s="13" t="s">
        <v>31</v>
      </c>
      <c r="D61" s="13" t="s">
        <v>310</v>
      </c>
      <c r="E61" s="13" t="s">
        <v>237</v>
      </c>
      <c r="F61" s="13" t="s">
        <v>34</v>
      </c>
      <c r="G61" s="13" t="s">
        <v>30</v>
      </c>
      <c r="H61" s="13" t="s">
        <v>269</v>
      </c>
      <c r="I61" s="13" t="s">
        <v>24</v>
      </c>
      <c r="J61" s="13" t="s">
        <v>257</v>
      </c>
      <c r="K61" s="13" t="s">
        <v>26</v>
      </c>
      <c r="L61" s="13" t="s">
        <v>50</v>
      </c>
      <c r="M61" s="16">
        <v>0.0</v>
      </c>
      <c r="N61" s="13" t="s">
        <v>142</v>
      </c>
      <c r="O61" s="16" t="s">
        <v>30</v>
      </c>
      <c r="P61" s="16" t="s">
        <v>61</v>
      </c>
      <c r="Q61" s="16">
        <v>20.0</v>
      </c>
    </row>
    <row r="62" ht="22.5" customHeight="1">
      <c r="A62" s="12"/>
      <c r="B62" s="13" t="s">
        <v>311</v>
      </c>
      <c r="C62" s="13" t="s">
        <v>31</v>
      </c>
      <c r="D62" s="13" t="s">
        <v>312</v>
      </c>
      <c r="E62" s="13" t="s">
        <v>33</v>
      </c>
      <c r="F62" s="13" t="s">
        <v>103</v>
      </c>
      <c r="G62" s="13" t="s">
        <v>30</v>
      </c>
      <c r="H62" s="13" t="s">
        <v>313</v>
      </c>
      <c r="I62" s="13" t="s">
        <v>36</v>
      </c>
      <c r="J62" s="13" t="s">
        <v>37</v>
      </c>
      <c r="K62" s="13" t="s">
        <v>38</v>
      </c>
      <c r="L62" s="13" t="s">
        <v>50</v>
      </c>
      <c r="M62" s="15" t="s">
        <v>28</v>
      </c>
      <c r="N62" s="13" t="s">
        <v>314</v>
      </c>
      <c r="O62" s="16" t="s">
        <v>52</v>
      </c>
      <c r="P62" s="16" t="s">
        <v>43</v>
      </c>
      <c r="Q62" s="16">
        <v>20.0</v>
      </c>
    </row>
    <row r="63" ht="22.5" customHeight="1">
      <c r="A63" s="12"/>
      <c r="B63" s="13" t="s">
        <v>315</v>
      </c>
      <c r="C63" s="14" t="s">
        <v>28</v>
      </c>
      <c r="D63" s="13" t="s">
        <v>316</v>
      </c>
      <c r="E63" s="13" t="s">
        <v>33</v>
      </c>
      <c r="F63" s="13" t="s">
        <v>34</v>
      </c>
      <c r="G63" s="13" t="s">
        <v>60</v>
      </c>
      <c r="H63" s="13" t="s">
        <v>317</v>
      </c>
      <c r="I63" s="13" t="s">
        <v>78</v>
      </c>
      <c r="J63" s="13" t="s">
        <v>318</v>
      </c>
      <c r="K63" s="13" t="s">
        <v>38</v>
      </c>
      <c r="L63" s="13" t="s">
        <v>39</v>
      </c>
      <c r="M63" s="15" t="s">
        <v>113</v>
      </c>
      <c r="N63" s="13" t="s">
        <v>319</v>
      </c>
      <c r="O63" s="16" t="s">
        <v>42</v>
      </c>
      <c r="P63" s="16" t="s">
        <v>43</v>
      </c>
      <c r="Q63" s="16">
        <v>18.0</v>
      </c>
    </row>
    <row r="64" ht="22.5" customHeight="1">
      <c r="A64" s="12"/>
      <c r="B64" s="13" t="s">
        <v>320</v>
      </c>
      <c r="C64" s="13" t="s">
        <v>31</v>
      </c>
      <c r="D64" s="13" t="s">
        <v>260</v>
      </c>
      <c r="E64" s="13" t="s">
        <v>255</v>
      </c>
      <c r="F64" s="13" t="s">
        <v>21</v>
      </c>
      <c r="G64" s="13" t="s">
        <v>48</v>
      </c>
      <c r="H64" s="13" t="s">
        <v>321</v>
      </c>
      <c r="I64" s="13" t="s">
        <v>78</v>
      </c>
      <c r="J64" s="13" t="s">
        <v>322</v>
      </c>
      <c r="K64" s="13" t="s">
        <v>26</v>
      </c>
      <c r="L64" s="13" t="s">
        <v>50</v>
      </c>
      <c r="M64" s="15" t="s">
        <v>113</v>
      </c>
      <c r="N64" s="13" t="s">
        <v>323</v>
      </c>
      <c r="O64" s="16" t="s">
        <v>52</v>
      </c>
      <c r="P64" s="16" t="s">
        <v>43</v>
      </c>
      <c r="Q64" s="16">
        <v>22.0</v>
      </c>
    </row>
    <row r="65" ht="22.5" customHeight="1">
      <c r="A65" s="12"/>
      <c r="B65" s="13" t="s">
        <v>324</v>
      </c>
      <c r="C65" s="13" t="s">
        <v>31</v>
      </c>
      <c r="D65" s="13" t="s">
        <v>325</v>
      </c>
      <c r="E65" s="13" t="s">
        <v>64</v>
      </c>
      <c r="F65" s="13" t="s">
        <v>34</v>
      </c>
      <c r="G65" s="13" t="s">
        <v>22</v>
      </c>
      <c r="H65" s="13" t="s">
        <v>326</v>
      </c>
      <c r="I65" s="13" t="s">
        <v>36</v>
      </c>
      <c r="J65" s="13" t="s">
        <v>37</v>
      </c>
      <c r="K65" s="13" t="s">
        <v>67</v>
      </c>
      <c r="L65" s="13" t="s">
        <v>27</v>
      </c>
      <c r="M65" s="15" t="s">
        <v>113</v>
      </c>
      <c r="N65" s="13" t="s">
        <v>124</v>
      </c>
      <c r="O65" s="16" t="s">
        <v>30</v>
      </c>
      <c r="P65" s="16" t="s">
        <v>61</v>
      </c>
      <c r="Q65" s="16">
        <v>19.0</v>
      </c>
    </row>
    <row r="66" ht="22.5" customHeight="1">
      <c r="A66" s="12"/>
      <c r="C66" s="13" t="s">
        <v>31</v>
      </c>
      <c r="D66" s="13" t="s">
        <v>327</v>
      </c>
      <c r="E66" s="13" t="s">
        <v>245</v>
      </c>
      <c r="F66" s="13" t="s">
        <v>21</v>
      </c>
      <c r="G66" s="13" t="s">
        <v>30</v>
      </c>
      <c r="H66" s="13" t="s">
        <v>169</v>
      </c>
      <c r="I66" s="13" t="s">
        <v>78</v>
      </c>
      <c r="J66" s="13" t="s">
        <v>328</v>
      </c>
      <c r="K66" s="13" t="s">
        <v>26</v>
      </c>
      <c r="L66" s="13" t="s">
        <v>107</v>
      </c>
      <c r="M66" s="15" t="s">
        <v>113</v>
      </c>
      <c r="N66" s="13" t="s">
        <v>329</v>
      </c>
      <c r="O66" s="16" t="s">
        <v>30</v>
      </c>
      <c r="P66" s="16" t="s">
        <v>43</v>
      </c>
      <c r="Q66" s="16">
        <v>20.0</v>
      </c>
    </row>
    <row r="67" ht="22.5" customHeight="1">
      <c r="A67" s="12"/>
      <c r="B67" s="13" t="s">
        <v>330</v>
      </c>
      <c r="C67" s="13" t="s">
        <v>54</v>
      </c>
      <c r="D67" s="13" t="s">
        <v>331</v>
      </c>
      <c r="E67" s="13" t="s">
        <v>265</v>
      </c>
      <c r="F67" s="13" t="s">
        <v>34</v>
      </c>
      <c r="G67" s="13" t="s">
        <v>60</v>
      </c>
      <c r="H67" s="13" t="s">
        <v>332</v>
      </c>
      <c r="I67" s="13" t="s">
        <v>36</v>
      </c>
      <c r="J67" s="13" t="s">
        <v>333</v>
      </c>
      <c r="K67" s="13" t="s">
        <v>26</v>
      </c>
      <c r="L67" s="13" t="s">
        <v>39</v>
      </c>
      <c r="M67" s="15" t="s">
        <v>28</v>
      </c>
      <c r="N67" s="13" t="s">
        <v>334</v>
      </c>
      <c r="O67" s="16" t="s">
        <v>52</v>
      </c>
      <c r="P67" s="16" t="s">
        <v>43</v>
      </c>
      <c r="Q67" s="16">
        <v>20.0</v>
      </c>
    </row>
    <row r="68" ht="22.5" customHeight="1">
      <c r="A68" s="12"/>
      <c r="B68" s="13" t="s">
        <v>335</v>
      </c>
      <c r="C68" s="13" t="s">
        <v>31</v>
      </c>
      <c r="D68" s="13" t="s">
        <v>102</v>
      </c>
      <c r="E68" s="13" t="s">
        <v>33</v>
      </c>
      <c r="F68" s="13" t="s">
        <v>200</v>
      </c>
      <c r="G68" s="13" t="s">
        <v>60</v>
      </c>
      <c r="H68" s="13" t="s">
        <v>336</v>
      </c>
      <c r="I68" s="13" t="s">
        <v>24</v>
      </c>
      <c r="J68" s="13" t="s">
        <v>337</v>
      </c>
      <c r="K68" s="13" t="s">
        <v>26</v>
      </c>
      <c r="L68" s="13" t="s">
        <v>27</v>
      </c>
      <c r="M68" s="16">
        <v>0.0</v>
      </c>
      <c r="N68" s="13" t="s">
        <v>338</v>
      </c>
      <c r="O68" s="16" t="s">
        <v>60</v>
      </c>
      <c r="P68" s="16" t="s">
        <v>43</v>
      </c>
      <c r="Q68" s="16">
        <v>19.0</v>
      </c>
    </row>
    <row r="69" ht="22.5" customHeight="1">
      <c r="A69" s="12"/>
      <c r="B69" s="13" t="s">
        <v>335</v>
      </c>
      <c r="C69" s="13" t="s">
        <v>31</v>
      </c>
      <c r="D69" s="13" t="s">
        <v>102</v>
      </c>
      <c r="E69" s="13" t="s">
        <v>33</v>
      </c>
      <c r="F69" s="13" t="s">
        <v>200</v>
      </c>
      <c r="G69" s="13" t="s">
        <v>60</v>
      </c>
      <c r="H69" s="13" t="s">
        <v>336</v>
      </c>
      <c r="I69" s="13" t="s">
        <v>24</v>
      </c>
      <c r="J69" s="13" t="s">
        <v>279</v>
      </c>
      <c r="K69" s="13" t="s">
        <v>26</v>
      </c>
      <c r="L69" s="13" t="s">
        <v>27</v>
      </c>
      <c r="M69" s="16">
        <v>0.0</v>
      </c>
      <c r="N69" s="13" t="s">
        <v>339</v>
      </c>
      <c r="O69" s="16" t="s">
        <v>60</v>
      </c>
      <c r="P69" s="16" t="s">
        <v>43</v>
      </c>
      <c r="Q69" s="16">
        <v>19.0</v>
      </c>
    </row>
    <row r="70" ht="22.5" customHeight="1">
      <c r="A70" s="12"/>
      <c r="B70" s="13" t="s">
        <v>340</v>
      </c>
      <c r="C70" s="14" t="s">
        <v>28</v>
      </c>
      <c r="D70" s="13" t="s">
        <v>207</v>
      </c>
      <c r="E70" s="13" t="s">
        <v>341</v>
      </c>
      <c r="F70" s="13" t="s">
        <v>73</v>
      </c>
      <c r="G70" s="13" t="s">
        <v>30</v>
      </c>
      <c r="H70" s="13" t="s">
        <v>342</v>
      </c>
      <c r="I70" s="13" t="s">
        <v>24</v>
      </c>
      <c r="J70" s="13" t="s">
        <v>284</v>
      </c>
      <c r="K70" s="13" t="s">
        <v>26</v>
      </c>
      <c r="L70" s="13" t="s">
        <v>39</v>
      </c>
      <c r="M70" s="15" t="s">
        <v>113</v>
      </c>
      <c r="N70" s="13" t="s">
        <v>343</v>
      </c>
      <c r="O70" s="16" t="s">
        <v>60</v>
      </c>
      <c r="P70" s="16" t="s">
        <v>61</v>
      </c>
      <c r="Q70" s="16">
        <v>20.0</v>
      </c>
    </row>
    <row r="71" ht="22.5" customHeight="1">
      <c r="A71" s="12"/>
      <c r="B71" s="13" t="s">
        <v>344</v>
      </c>
      <c r="C71" s="13" t="s">
        <v>31</v>
      </c>
      <c r="D71" s="13" t="s">
        <v>345</v>
      </c>
      <c r="E71" s="13" t="s">
        <v>346</v>
      </c>
      <c r="F71" s="13" t="s">
        <v>103</v>
      </c>
      <c r="G71" s="13" t="s">
        <v>22</v>
      </c>
      <c r="H71" s="13" t="s">
        <v>347</v>
      </c>
      <c r="I71" s="13" t="s">
        <v>24</v>
      </c>
      <c r="J71" s="13" t="s">
        <v>112</v>
      </c>
      <c r="K71" s="13" t="s">
        <v>26</v>
      </c>
      <c r="L71" s="13" t="s">
        <v>50</v>
      </c>
      <c r="M71" s="15" t="s">
        <v>113</v>
      </c>
      <c r="N71" s="13" t="s">
        <v>348</v>
      </c>
      <c r="O71" s="16" t="s">
        <v>52</v>
      </c>
      <c r="P71" s="16" t="s">
        <v>61</v>
      </c>
      <c r="Q71" s="16">
        <v>18.0</v>
      </c>
    </row>
    <row r="72" ht="22.5" customHeight="1">
      <c r="A72" s="12"/>
      <c r="B72" s="13" t="s">
        <v>349</v>
      </c>
      <c r="C72" s="14" t="s">
        <v>28</v>
      </c>
      <c r="D72" s="13" t="s">
        <v>277</v>
      </c>
      <c r="E72" s="13" t="s">
        <v>152</v>
      </c>
      <c r="F72" s="13" t="s">
        <v>103</v>
      </c>
      <c r="G72" s="13" t="s">
        <v>22</v>
      </c>
      <c r="H72" s="13" t="s">
        <v>350</v>
      </c>
      <c r="I72" s="13" t="s">
        <v>122</v>
      </c>
      <c r="J72" s="13" t="s">
        <v>351</v>
      </c>
      <c r="K72" s="13" t="s">
        <v>67</v>
      </c>
      <c r="L72" s="13" t="s">
        <v>107</v>
      </c>
      <c r="M72" s="15" t="s">
        <v>28</v>
      </c>
      <c r="N72" s="13" t="s">
        <v>352</v>
      </c>
      <c r="O72" s="16" t="s">
        <v>30</v>
      </c>
      <c r="P72" s="16" t="s">
        <v>43</v>
      </c>
      <c r="Q72" s="16">
        <v>18.0</v>
      </c>
    </row>
    <row r="73" ht="22.5" customHeight="1">
      <c r="A73" s="12"/>
      <c r="B73" s="13" t="s">
        <v>353</v>
      </c>
      <c r="C73" s="13" t="s">
        <v>54</v>
      </c>
      <c r="D73" s="13" t="s">
        <v>354</v>
      </c>
      <c r="E73" s="13" t="s">
        <v>130</v>
      </c>
      <c r="F73" s="13" t="s">
        <v>21</v>
      </c>
      <c r="G73" s="13" t="s">
        <v>22</v>
      </c>
      <c r="H73" s="13" t="s">
        <v>355</v>
      </c>
      <c r="I73" s="13" t="s">
        <v>36</v>
      </c>
      <c r="J73" s="13" t="s">
        <v>356</v>
      </c>
      <c r="K73" s="13" t="s">
        <v>26</v>
      </c>
      <c r="L73" s="13" t="s">
        <v>39</v>
      </c>
      <c r="M73" s="15" t="s">
        <v>113</v>
      </c>
      <c r="N73" s="13" t="s">
        <v>234</v>
      </c>
      <c r="O73" s="16" t="s">
        <v>42</v>
      </c>
      <c r="P73" s="16" t="s">
        <v>43</v>
      </c>
      <c r="Q73" s="16">
        <v>19.0</v>
      </c>
    </row>
    <row r="74" ht="22.5" customHeight="1">
      <c r="A74" s="12"/>
      <c r="C74" s="13" t="s">
        <v>31</v>
      </c>
      <c r="D74" s="13" t="s">
        <v>357</v>
      </c>
      <c r="E74" s="13" t="s">
        <v>20</v>
      </c>
      <c r="F74" s="13" t="s">
        <v>21</v>
      </c>
      <c r="G74" s="13" t="s">
        <v>30</v>
      </c>
      <c r="H74" s="13" t="s">
        <v>358</v>
      </c>
      <c r="I74" s="13" t="s">
        <v>36</v>
      </c>
      <c r="J74" s="13" t="s">
        <v>25</v>
      </c>
      <c r="K74" s="13" t="s">
        <v>38</v>
      </c>
      <c r="L74" s="13" t="s">
        <v>27</v>
      </c>
      <c r="M74" s="16">
        <v>0.0</v>
      </c>
      <c r="N74" s="13" t="s">
        <v>359</v>
      </c>
      <c r="O74" s="16" t="s">
        <v>30</v>
      </c>
      <c r="P74" s="16" t="s">
        <v>61</v>
      </c>
      <c r="Q74" s="16">
        <v>18.0</v>
      </c>
    </row>
    <row r="75" ht="22.5" customHeight="1">
      <c r="A75" s="12"/>
      <c r="B75" s="13" t="s">
        <v>360</v>
      </c>
      <c r="C75" s="13" t="s">
        <v>54</v>
      </c>
      <c r="D75" s="13" t="s">
        <v>361</v>
      </c>
      <c r="E75" s="13" t="s">
        <v>33</v>
      </c>
      <c r="F75" s="13" t="s">
        <v>73</v>
      </c>
      <c r="G75" s="13" t="s">
        <v>30</v>
      </c>
      <c r="H75" s="13" t="s">
        <v>362</v>
      </c>
      <c r="I75" s="13" t="s">
        <v>122</v>
      </c>
      <c r="J75" s="13" t="s">
        <v>37</v>
      </c>
      <c r="K75" s="13" t="s">
        <v>26</v>
      </c>
      <c r="L75" s="13" t="s">
        <v>27</v>
      </c>
      <c r="M75" s="15" t="s">
        <v>113</v>
      </c>
      <c r="N75" s="13" t="s">
        <v>363</v>
      </c>
      <c r="O75" s="16" t="s">
        <v>60</v>
      </c>
      <c r="P75" s="16" t="s">
        <v>61</v>
      </c>
      <c r="Q75" s="16">
        <v>19.0</v>
      </c>
    </row>
    <row r="76" ht="22.5" customHeight="1">
      <c r="A76" s="12"/>
      <c r="B76" s="13" t="s">
        <v>364</v>
      </c>
      <c r="C76" s="13" t="s">
        <v>31</v>
      </c>
      <c r="D76" s="13" t="s">
        <v>102</v>
      </c>
      <c r="E76" s="13" t="s">
        <v>33</v>
      </c>
      <c r="F76" s="13" t="s">
        <v>21</v>
      </c>
      <c r="G76" s="13" t="s">
        <v>60</v>
      </c>
      <c r="H76" s="13" t="s">
        <v>203</v>
      </c>
      <c r="I76" s="13" t="s">
        <v>78</v>
      </c>
      <c r="J76" s="13" t="s">
        <v>141</v>
      </c>
      <c r="K76" s="13" t="s">
        <v>38</v>
      </c>
      <c r="L76" s="13" t="s">
        <v>27</v>
      </c>
      <c r="M76" s="15" t="s">
        <v>113</v>
      </c>
      <c r="N76" s="13" t="s">
        <v>262</v>
      </c>
      <c r="O76" s="16" t="s">
        <v>60</v>
      </c>
      <c r="P76" s="16" t="s">
        <v>43</v>
      </c>
      <c r="Q76" s="16">
        <v>19.0</v>
      </c>
    </row>
    <row r="77" ht="22.5" customHeight="1">
      <c r="A77" s="12"/>
      <c r="B77" s="13" t="s">
        <v>365</v>
      </c>
      <c r="C77" s="13" t="s">
        <v>31</v>
      </c>
      <c r="D77" s="13" t="s">
        <v>102</v>
      </c>
      <c r="E77" s="13" t="s">
        <v>33</v>
      </c>
      <c r="F77" s="13" t="s">
        <v>21</v>
      </c>
      <c r="G77" s="13" t="s">
        <v>30</v>
      </c>
      <c r="H77" s="13" t="s">
        <v>366</v>
      </c>
      <c r="I77" s="13" t="s">
        <v>78</v>
      </c>
      <c r="J77" s="13" t="s">
        <v>112</v>
      </c>
      <c r="K77" s="13" t="s">
        <v>26</v>
      </c>
      <c r="L77" s="13" t="s">
        <v>27</v>
      </c>
      <c r="M77" s="16" t="s">
        <v>40</v>
      </c>
      <c r="N77" s="13" t="s">
        <v>329</v>
      </c>
      <c r="O77" s="16" t="s">
        <v>30</v>
      </c>
      <c r="P77" s="16" t="s">
        <v>43</v>
      </c>
      <c r="Q77" s="16">
        <v>21.0</v>
      </c>
    </row>
    <row r="78" ht="22.5" customHeight="1">
      <c r="A78" s="12"/>
      <c r="B78" s="13" t="s">
        <v>367</v>
      </c>
      <c r="C78" s="14" t="s">
        <v>28</v>
      </c>
      <c r="D78" s="13" t="s">
        <v>368</v>
      </c>
      <c r="E78" s="13" t="s">
        <v>33</v>
      </c>
      <c r="F78" s="13" t="s">
        <v>21</v>
      </c>
      <c r="G78" s="13" t="s">
        <v>30</v>
      </c>
      <c r="H78" s="13" t="s">
        <v>369</v>
      </c>
      <c r="I78" s="13" t="s">
        <v>105</v>
      </c>
      <c r="J78" s="13" t="s">
        <v>370</v>
      </c>
      <c r="K78" s="13" t="s">
        <v>232</v>
      </c>
      <c r="L78" s="13" t="s">
        <v>39</v>
      </c>
      <c r="M78" s="16">
        <v>0.0</v>
      </c>
      <c r="N78" s="13" t="s">
        <v>262</v>
      </c>
      <c r="O78" s="16" t="s">
        <v>52</v>
      </c>
      <c r="P78" s="16" t="s">
        <v>43</v>
      </c>
      <c r="Q78" s="16">
        <v>20.0</v>
      </c>
    </row>
    <row r="79" ht="22.5" customHeight="1">
      <c r="A79" s="12"/>
      <c r="B79" s="13" t="s">
        <v>371</v>
      </c>
      <c r="C79" s="13" t="s">
        <v>54</v>
      </c>
      <c r="D79" s="13" t="s">
        <v>372</v>
      </c>
      <c r="E79" s="13" t="s">
        <v>202</v>
      </c>
      <c r="F79" s="13" t="s">
        <v>21</v>
      </c>
      <c r="G79" s="13" t="s">
        <v>60</v>
      </c>
      <c r="H79" s="13" t="s">
        <v>373</v>
      </c>
      <c r="I79" s="13" t="s">
        <v>24</v>
      </c>
      <c r="J79" s="13" t="s">
        <v>374</v>
      </c>
      <c r="K79" s="13" t="s">
        <v>26</v>
      </c>
      <c r="L79" s="13" t="s">
        <v>39</v>
      </c>
      <c r="M79" s="16" t="s">
        <v>40</v>
      </c>
      <c r="N79" s="13" t="s">
        <v>334</v>
      </c>
      <c r="O79" s="16" t="s">
        <v>52</v>
      </c>
      <c r="P79" s="16" t="s">
        <v>43</v>
      </c>
      <c r="Q79" s="16">
        <v>21.0</v>
      </c>
    </row>
    <row r="80" ht="22.5" customHeight="1">
      <c r="A80" s="12"/>
      <c r="B80" s="13" t="s">
        <v>375</v>
      </c>
      <c r="C80" s="14" t="s">
        <v>28</v>
      </c>
      <c r="D80" s="13" t="s">
        <v>376</v>
      </c>
      <c r="E80" s="13" t="s">
        <v>377</v>
      </c>
      <c r="F80" s="13" t="s">
        <v>34</v>
      </c>
      <c r="G80" s="13" t="s">
        <v>60</v>
      </c>
      <c r="H80" s="13" t="s">
        <v>378</v>
      </c>
      <c r="I80" s="13" t="s">
        <v>122</v>
      </c>
      <c r="J80" s="13" t="s">
        <v>112</v>
      </c>
      <c r="K80" s="13" t="s">
        <v>26</v>
      </c>
      <c r="L80" s="13" t="s">
        <v>27</v>
      </c>
      <c r="M80" s="15" t="s">
        <v>28</v>
      </c>
      <c r="N80" s="13" t="s">
        <v>379</v>
      </c>
      <c r="O80" s="16" t="s">
        <v>60</v>
      </c>
      <c r="P80" s="16" t="s">
        <v>61</v>
      </c>
      <c r="Q80" s="16">
        <v>18.0</v>
      </c>
    </row>
    <row r="81" ht="22.5" customHeight="1">
      <c r="A81" s="12"/>
      <c r="B81" s="13" t="s">
        <v>380</v>
      </c>
      <c r="C81" s="13" t="s">
        <v>31</v>
      </c>
      <c r="D81" s="13" t="s">
        <v>381</v>
      </c>
      <c r="E81" s="13" t="s">
        <v>64</v>
      </c>
      <c r="F81" s="13" t="s">
        <v>34</v>
      </c>
      <c r="G81" s="13" t="s">
        <v>30</v>
      </c>
      <c r="H81" s="13" t="s">
        <v>382</v>
      </c>
      <c r="I81" s="13" t="s">
        <v>36</v>
      </c>
      <c r="J81" s="13" t="s">
        <v>298</v>
      </c>
      <c r="K81" s="13" t="s">
        <v>58</v>
      </c>
      <c r="L81" s="13" t="s">
        <v>39</v>
      </c>
      <c r="M81" s="15" t="s">
        <v>113</v>
      </c>
      <c r="N81" s="13" t="s">
        <v>383</v>
      </c>
      <c r="O81" s="16" t="s">
        <v>30</v>
      </c>
      <c r="P81" s="16" t="s">
        <v>43</v>
      </c>
      <c r="Q81" s="16">
        <v>20.0</v>
      </c>
    </row>
    <row r="82" ht="22.5" customHeight="1">
      <c r="A82" s="12"/>
      <c r="B82" s="13" t="s">
        <v>384</v>
      </c>
      <c r="C82" s="13" t="s">
        <v>31</v>
      </c>
      <c r="D82" s="13" t="s">
        <v>135</v>
      </c>
      <c r="E82" s="13" t="s">
        <v>162</v>
      </c>
      <c r="F82" s="13" t="s">
        <v>34</v>
      </c>
      <c r="G82" s="13" t="s">
        <v>22</v>
      </c>
      <c r="H82" s="13" t="s">
        <v>203</v>
      </c>
      <c r="I82" s="13" t="s">
        <v>24</v>
      </c>
      <c r="J82" s="13" t="s">
        <v>37</v>
      </c>
      <c r="K82" s="13" t="s">
        <v>38</v>
      </c>
      <c r="L82" s="13" t="s">
        <v>27</v>
      </c>
      <c r="M82" s="15" t="s">
        <v>113</v>
      </c>
      <c r="N82" s="13" t="s">
        <v>329</v>
      </c>
      <c r="O82" s="16" t="s">
        <v>52</v>
      </c>
      <c r="P82" s="16" t="s">
        <v>43</v>
      </c>
      <c r="Q82" s="16">
        <v>19.0</v>
      </c>
    </row>
    <row r="83" ht="22.5" customHeight="1">
      <c r="A83" s="12"/>
      <c r="B83" s="13" t="s">
        <v>385</v>
      </c>
      <c r="C83" s="13" t="s">
        <v>31</v>
      </c>
      <c r="D83" s="13" t="s">
        <v>260</v>
      </c>
      <c r="E83" s="13" t="s">
        <v>33</v>
      </c>
      <c r="F83" s="13" t="s">
        <v>21</v>
      </c>
      <c r="G83" s="13" t="s">
        <v>30</v>
      </c>
      <c r="H83" s="13" t="s">
        <v>386</v>
      </c>
      <c r="I83" s="13" t="s">
        <v>24</v>
      </c>
      <c r="J83" s="13" t="s">
        <v>180</v>
      </c>
      <c r="K83" s="13" t="s">
        <v>38</v>
      </c>
      <c r="L83" s="13" t="s">
        <v>27</v>
      </c>
      <c r="M83" s="13">
        <v>0.0</v>
      </c>
      <c r="N83" s="13" t="s">
        <v>329</v>
      </c>
      <c r="O83" s="13" t="s">
        <v>30</v>
      </c>
      <c r="P83" s="13" t="s">
        <v>43</v>
      </c>
      <c r="Q83" s="13">
        <v>22.0</v>
      </c>
    </row>
    <row r="84" ht="22.5" customHeight="1">
      <c r="A84" s="12"/>
      <c r="B84" s="13" t="s">
        <v>387</v>
      </c>
      <c r="C84" s="13" t="s">
        <v>54</v>
      </c>
      <c r="D84" s="13" t="s">
        <v>214</v>
      </c>
      <c r="E84" s="13" t="s">
        <v>388</v>
      </c>
      <c r="F84" s="13" t="s">
        <v>78</v>
      </c>
      <c r="G84" s="13" t="s">
        <v>22</v>
      </c>
      <c r="H84" s="13" t="s">
        <v>241</v>
      </c>
      <c r="I84" s="13" t="s">
        <v>122</v>
      </c>
      <c r="J84" s="13" t="s">
        <v>318</v>
      </c>
      <c r="K84" s="13" t="s">
        <v>67</v>
      </c>
      <c r="L84" s="13" t="s">
        <v>39</v>
      </c>
      <c r="M84" s="14" t="s">
        <v>28</v>
      </c>
      <c r="N84" s="13" t="s">
        <v>191</v>
      </c>
      <c r="O84" s="13" t="s">
        <v>30</v>
      </c>
      <c r="P84" s="13" t="s">
        <v>61</v>
      </c>
      <c r="Q84" s="13">
        <v>19.0</v>
      </c>
    </row>
    <row r="85" ht="22.5" customHeight="1">
      <c r="A85" s="12"/>
      <c r="B85" s="13" t="s">
        <v>389</v>
      </c>
      <c r="C85" s="13" t="s">
        <v>54</v>
      </c>
      <c r="D85" s="13" t="s">
        <v>310</v>
      </c>
      <c r="E85" s="13" t="s">
        <v>33</v>
      </c>
      <c r="F85" s="13" t="s">
        <v>200</v>
      </c>
      <c r="G85" s="13" t="s">
        <v>60</v>
      </c>
      <c r="H85" s="13" t="s">
        <v>169</v>
      </c>
      <c r="I85" s="13" t="s">
        <v>78</v>
      </c>
      <c r="J85" s="13" t="s">
        <v>204</v>
      </c>
      <c r="K85" s="13" t="s">
        <v>38</v>
      </c>
      <c r="L85" s="13" t="s">
        <v>27</v>
      </c>
      <c r="M85" s="13" t="s">
        <v>40</v>
      </c>
      <c r="N85" s="13" t="s">
        <v>165</v>
      </c>
      <c r="O85" s="13" t="s">
        <v>42</v>
      </c>
      <c r="P85" s="13" t="s">
        <v>43</v>
      </c>
      <c r="Q85" s="13">
        <v>19.0</v>
      </c>
    </row>
    <row r="86" ht="22.5" customHeight="1">
      <c r="A86" s="12"/>
      <c r="B86" s="13" t="s">
        <v>390</v>
      </c>
      <c r="C86" s="14" t="s">
        <v>28</v>
      </c>
      <c r="D86" s="13" t="s">
        <v>391</v>
      </c>
      <c r="E86" s="13" t="s">
        <v>237</v>
      </c>
      <c r="F86" s="13" t="s">
        <v>21</v>
      </c>
      <c r="G86" s="13" t="s">
        <v>30</v>
      </c>
      <c r="H86" s="13" t="s">
        <v>392</v>
      </c>
      <c r="I86" s="13" t="s">
        <v>24</v>
      </c>
      <c r="J86" s="13" t="s">
        <v>393</v>
      </c>
      <c r="K86" s="13" t="s">
        <v>26</v>
      </c>
      <c r="L86" s="13" t="s">
        <v>27</v>
      </c>
      <c r="M86" s="13">
        <v>0.0</v>
      </c>
      <c r="N86" s="13" t="s">
        <v>124</v>
      </c>
      <c r="O86" s="13" t="s">
        <v>60</v>
      </c>
      <c r="P86" s="13" t="s">
        <v>43</v>
      </c>
      <c r="Q86" s="13">
        <v>20.0</v>
      </c>
    </row>
    <row r="87" ht="22.5" customHeight="1">
      <c r="A87" s="12"/>
      <c r="B87" s="13" t="s">
        <v>394</v>
      </c>
      <c r="C87" s="13" t="s">
        <v>31</v>
      </c>
      <c r="D87" s="13" t="s">
        <v>395</v>
      </c>
      <c r="E87" s="13" t="s">
        <v>20</v>
      </c>
      <c r="F87" s="13" t="s">
        <v>21</v>
      </c>
      <c r="G87" s="13" t="s">
        <v>30</v>
      </c>
      <c r="H87" s="13" t="s">
        <v>355</v>
      </c>
      <c r="I87" s="13" t="s">
        <v>36</v>
      </c>
      <c r="J87" s="13" t="s">
        <v>396</v>
      </c>
      <c r="K87" s="13" t="s">
        <v>38</v>
      </c>
      <c r="L87" s="13" t="s">
        <v>107</v>
      </c>
      <c r="M87" s="13">
        <v>0.0</v>
      </c>
      <c r="N87" s="13" t="s">
        <v>266</v>
      </c>
      <c r="O87" s="13" t="s">
        <v>30</v>
      </c>
      <c r="P87" s="13" t="s">
        <v>397</v>
      </c>
      <c r="Q87" s="13">
        <v>19.0</v>
      </c>
    </row>
    <row r="88" ht="22.5" customHeight="1">
      <c r="A88" s="12"/>
      <c r="B88" s="13" t="s">
        <v>398</v>
      </c>
      <c r="C88" s="14" t="s">
        <v>18</v>
      </c>
      <c r="D88" s="13" t="s">
        <v>399</v>
      </c>
      <c r="E88" s="13" t="s">
        <v>400</v>
      </c>
      <c r="F88" s="13" t="s">
        <v>34</v>
      </c>
      <c r="G88" s="13" t="s">
        <v>30</v>
      </c>
      <c r="H88" s="13" t="s">
        <v>401</v>
      </c>
      <c r="I88" s="13" t="s">
        <v>24</v>
      </c>
      <c r="J88" s="13" t="s">
        <v>257</v>
      </c>
      <c r="K88" s="13" t="s">
        <v>26</v>
      </c>
      <c r="L88" s="13" t="s">
        <v>50</v>
      </c>
      <c r="M88" s="14" t="s">
        <v>113</v>
      </c>
      <c r="N88" s="13" t="s">
        <v>402</v>
      </c>
      <c r="O88" s="13" t="s">
        <v>30</v>
      </c>
      <c r="P88" s="13" t="s">
        <v>43</v>
      </c>
      <c r="Q88" s="13">
        <v>20.0</v>
      </c>
    </row>
    <row r="89" ht="22.5" customHeight="1">
      <c r="A89" s="12"/>
      <c r="B89" s="13" t="s">
        <v>403</v>
      </c>
      <c r="C89" s="13" t="s">
        <v>54</v>
      </c>
      <c r="D89" s="13" t="s">
        <v>144</v>
      </c>
      <c r="E89" s="13" t="s">
        <v>33</v>
      </c>
      <c r="F89" s="13" t="s">
        <v>21</v>
      </c>
      <c r="G89" s="13" t="s">
        <v>22</v>
      </c>
      <c r="H89" s="13" t="s">
        <v>203</v>
      </c>
      <c r="I89" s="13" t="s">
        <v>36</v>
      </c>
      <c r="J89" s="13" t="s">
        <v>106</v>
      </c>
      <c r="K89" s="13" t="s">
        <v>67</v>
      </c>
      <c r="L89" s="13" t="s">
        <v>27</v>
      </c>
      <c r="M89" s="14" t="s">
        <v>28</v>
      </c>
      <c r="N89" s="13" t="s">
        <v>329</v>
      </c>
      <c r="O89" s="13" t="s">
        <v>30</v>
      </c>
      <c r="P89" s="13" t="s">
        <v>397</v>
      </c>
      <c r="Q89" s="13">
        <v>24.0</v>
      </c>
    </row>
    <row r="90" ht="22.5" customHeight="1">
      <c r="A90" s="12"/>
      <c r="C90" s="13" t="s">
        <v>31</v>
      </c>
      <c r="D90" s="13" t="s">
        <v>404</v>
      </c>
      <c r="E90" s="13" t="s">
        <v>158</v>
      </c>
      <c r="F90" s="13" t="s">
        <v>103</v>
      </c>
      <c r="G90" s="13" t="s">
        <v>60</v>
      </c>
      <c r="H90" s="13" t="s">
        <v>405</v>
      </c>
      <c r="I90" s="13" t="s">
        <v>105</v>
      </c>
      <c r="J90" s="13" t="s">
        <v>204</v>
      </c>
      <c r="K90" s="13" t="s">
        <v>38</v>
      </c>
      <c r="L90" s="13" t="s">
        <v>39</v>
      </c>
      <c r="M90" s="14" t="s">
        <v>113</v>
      </c>
      <c r="N90" s="13" t="s">
        <v>406</v>
      </c>
      <c r="O90" s="13" t="s">
        <v>30</v>
      </c>
      <c r="P90" s="13" t="s">
        <v>61</v>
      </c>
      <c r="Q90" s="13">
        <v>19.0</v>
      </c>
    </row>
    <row r="91" ht="22.5" customHeight="1">
      <c r="A91" s="12"/>
      <c r="B91" s="13" t="s">
        <v>407</v>
      </c>
      <c r="C91" s="14" t="s">
        <v>18</v>
      </c>
      <c r="D91" s="13" t="s">
        <v>408</v>
      </c>
      <c r="E91" s="13" t="s">
        <v>20</v>
      </c>
      <c r="F91" s="13" t="s">
        <v>34</v>
      </c>
      <c r="G91" s="13" t="s">
        <v>60</v>
      </c>
      <c r="H91" s="13" t="s">
        <v>409</v>
      </c>
      <c r="I91" s="13" t="s">
        <v>24</v>
      </c>
      <c r="J91" s="13" t="s">
        <v>37</v>
      </c>
      <c r="K91" s="13" t="s">
        <v>58</v>
      </c>
      <c r="L91" s="13" t="s">
        <v>50</v>
      </c>
      <c r="M91" s="14" t="s">
        <v>113</v>
      </c>
      <c r="N91" s="13" t="s">
        <v>216</v>
      </c>
      <c r="O91" s="13" t="s">
        <v>30</v>
      </c>
      <c r="P91" s="13" t="s">
        <v>43</v>
      </c>
      <c r="Q91" s="13">
        <v>45.0</v>
      </c>
    </row>
    <row r="92" ht="22.5" customHeight="1">
      <c r="A92" s="12"/>
      <c r="B92" s="13" t="s">
        <v>410</v>
      </c>
      <c r="C92" s="13" t="s">
        <v>31</v>
      </c>
      <c r="D92" s="13" t="s">
        <v>110</v>
      </c>
      <c r="E92" s="13" t="s">
        <v>411</v>
      </c>
      <c r="F92" s="13" t="s">
        <v>34</v>
      </c>
      <c r="G92" s="13" t="s">
        <v>30</v>
      </c>
      <c r="H92" s="13" t="s">
        <v>203</v>
      </c>
      <c r="I92" s="13" t="s">
        <v>36</v>
      </c>
      <c r="J92" s="13" t="s">
        <v>141</v>
      </c>
      <c r="K92" s="13" t="s">
        <v>67</v>
      </c>
      <c r="L92" s="13" t="s">
        <v>50</v>
      </c>
      <c r="M92" s="14" t="s">
        <v>28</v>
      </c>
      <c r="N92" s="13" t="s">
        <v>108</v>
      </c>
      <c r="O92" s="13" t="s">
        <v>30</v>
      </c>
      <c r="P92" s="13" t="s">
        <v>43</v>
      </c>
      <c r="Q92" s="13">
        <v>19.0</v>
      </c>
    </row>
    <row r="93" ht="22.5" customHeight="1">
      <c r="A93" s="12"/>
      <c r="B93" s="13" t="s">
        <v>412</v>
      </c>
      <c r="C93" s="14" t="s">
        <v>28</v>
      </c>
      <c r="D93" s="13" t="s">
        <v>413</v>
      </c>
      <c r="E93" s="13" t="s">
        <v>202</v>
      </c>
      <c r="F93" s="13" t="s">
        <v>78</v>
      </c>
      <c r="G93" s="13" t="s">
        <v>60</v>
      </c>
      <c r="H93" s="13" t="s">
        <v>414</v>
      </c>
      <c r="I93" s="13" t="s">
        <v>36</v>
      </c>
      <c r="J93" s="13" t="s">
        <v>415</v>
      </c>
      <c r="K93" s="13" t="s">
        <v>26</v>
      </c>
      <c r="L93" s="13" t="s">
        <v>27</v>
      </c>
      <c r="M93" s="13">
        <v>0.0</v>
      </c>
      <c r="N93" s="13" t="s">
        <v>216</v>
      </c>
      <c r="O93" s="13" t="s">
        <v>52</v>
      </c>
      <c r="P93" s="13" t="s">
        <v>43</v>
      </c>
      <c r="Q93" s="13">
        <v>19.0</v>
      </c>
    </row>
    <row r="94" ht="22.5" customHeight="1">
      <c r="A94" s="12"/>
      <c r="B94" s="13" t="s">
        <v>416</v>
      </c>
      <c r="C94" s="13" t="s">
        <v>31</v>
      </c>
      <c r="D94" s="13" t="s">
        <v>417</v>
      </c>
      <c r="E94" s="13" t="s">
        <v>20</v>
      </c>
      <c r="F94" s="13" t="s">
        <v>34</v>
      </c>
      <c r="G94" s="13" t="s">
        <v>30</v>
      </c>
      <c r="H94" s="13" t="s">
        <v>418</v>
      </c>
      <c r="I94" s="13" t="s">
        <v>36</v>
      </c>
      <c r="J94" s="13" t="s">
        <v>419</v>
      </c>
      <c r="K94" s="13" t="s">
        <v>67</v>
      </c>
      <c r="L94" s="13" t="s">
        <v>39</v>
      </c>
      <c r="M94" s="14" t="s">
        <v>113</v>
      </c>
      <c r="N94" s="13" t="s">
        <v>420</v>
      </c>
      <c r="O94" s="13" t="s">
        <v>30</v>
      </c>
      <c r="P94" s="13" t="s">
        <v>61</v>
      </c>
      <c r="Q94" s="13">
        <v>19.0</v>
      </c>
    </row>
    <row r="95" ht="22.5" customHeight="1">
      <c r="A95" s="12"/>
      <c r="B95" s="13" t="s">
        <v>421</v>
      </c>
      <c r="C95" s="14" t="s">
        <v>28</v>
      </c>
      <c r="D95" s="13" t="s">
        <v>345</v>
      </c>
      <c r="E95" s="13" t="s">
        <v>33</v>
      </c>
      <c r="F95" s="13" t="s">
        <v>200</v>
      </c>
      <c r="G95" s="13" t="s">
        <v>22</v>
      </c>
      <c r="H95" s="13" t="s">
        <v>422</v>
      </c>
      <c r="I95" s="13" t="s">
        <v>105</v>
      </c>
      <c r="J95" s="13" t="s">
        <v>370</v>
      </c>
      <c r="K95" s="13" t="s">
        <v>67</v>
      </c>
      <c r="L95" s="13" t="s">
        <v>107</v>
      </c>
      <c r="M95" s="14" t="s">
        <v>113</v>
      </c>
      <c r="N95" s="13" t="s">
        <v>216</v>
      </c>
      <c r="O95" s="13" t="s">
        <v>42</v>
      </c>
      <c r="P95" s="13" t="s">
        <v>43</v>
      </c>
      <c r="Q95" s="13">
        <v>20.0</v>
      </c>
    </row>
    <row r="96" ht="22.5" customHeight="1">
      <c r="A96" s="12"/>
      <c r="B96" s="13" t="s">
        <v>423</v>
      </c>
      <c r="C96" s="13" t="s">
        <v>54</v>
      </c>
      <c r="D96" s="13" t="s">
        <v>424</v>
      </c>
      <c r="E96" s="13" t="s">
        <v>425</v>
      </c>
      <c r="F96" s="13" t="s">
        <v>47</v>
      </c>
      <c r="G96" s="13" t="s">
        <v>48</v>
      </c>
      <c r="H96" s="13" t="s">
        <v>426</v>
      </c>
      <c r="I96" s="13" t="s">
        <v>105</v>
      </c>
      <c r="J96" s="13" t="s">
        <v>427</v>
      </c>
      <c r="K96" s="13" t="s">
        <v>232</v>
      </c>
      <c r="L96" s="13" t="s">
        <v>50</v>
      </c>
      <c r="M96" s="13">
        <v>0.0</v>
      </c>
      <c r="N96" s="13" t="s">
        <v>428</v>
      </c>
      <c r="O96" s="13" t="s">
        <v>52</v>
      </c>
      <c r="P96" s="13" t="s">
        <v>61</v>
      </c>
      <c r="Q96" s="13" t="s">
        <v>429</v>
      </c>
    </row>
    <row r="97" ht="22.5" customHeight="1">
      <c r="A97" s="12"/>
      <c r="B97" s="13" t="s">
        <v>430</v>
      </c>
      <c r="C97" s="13" t="s">
        <v>54</v>
      </c>
      <c r="D97" s="13" t="s">
        <v>431</v>
      </c>
      <c r="E97" s="13" t="s">
        <v>432</v>
      </c>
      <c r="F97" s="13" t="s">
        <v>21</v>
      </c>
      <c r="G97" s="13" t="s">
        <v>22</v>
      </c>
      <c r="H97" s="13" t="s">
        <v>433</v>
      </c>
      <c r="I97" s="13" t="s">
        <v>78</v>
      </c>
      <c r="J97" s="13" t="s">
        <v>434</v>
      </c>
      <c r="K97" s="13" t="s">
        <v>26</v>
      </c>
      <c r="L97" s="13" t="s">
        <v>27</v>
      </c>
      <c r="M97" s="14" t="s">
        <v>28</v>
      </c>
      <c r="N97" s="13" t="s">
        <v>435</v>
      </c>
      <c r="O97" s="13" t="s">
        <v>60</v>
      </c>
      <c r="P97" s="13" t="s">
        <v>43</v>
      </c>
      <c r="Q97" s="13">
        <v>23.0</v>
      </c>
    </row>
    <row r="98" ht="22.5" customHeight="1">
      <c r="A98" s="12"/>
      <c r="B98" s="13" t="s">
        <v>436</v>
      </c>
      <c r="C98" s="13" t="s">
        <v>31</v>
      </c>
      <c r="D98" s="13" t="s">
        <v>437</v>
      </c>
      <c r="E98" s="13" t="s">
        <v>438</v>
      </c>
      <c r="F98" s="13" t="s">
        <v>34</v>
      </c>
      <c r="G98" s="13" t="s">
        <v>60</v>
      </c>
      <c r="H98" s="13" t="s">
        <v>439</v>
      </c>
      <c r="I98" s="13" t="s">
        <v>105</v>
      </c>
      <c r="J98" s="13" t="s">
        <v>112</v>
      </c>
      <c r="K98" s="13" t="s">
        <v>38</v>
      </c>
      <c r="L98" s="13" t="s">
        <v>27</v>
      </c>
      <c r="M98" s="14" t="s">
        <v>113</v>
      </c>
      <c r="N98" s="13" t="s">
        <v>440</v>
      </c>
      <c r="O98" s="13" t="s">
        <v>42</v>
      </c>
      <c r="P98" s="13" t="s">
        <v>43</v>
      </c>
      <c r="Q98" s="13">
        <v>19.0</v>
      </c>
    </row>
    <row r="99" ht="22.5" customHeight="1">
      <c r="A99" s="12"/>
      <c r="B99" s="13" t="s">
        <v>441</v>
      </c>
      <c r="C99" s="13" t="s">
        <v>54</v>
      </c>
      <c r="D99" s="13" t="s">
        <v>442</v>
      </c>
      <c r="E99" s="13" t="s">
        <v>443</v>
      </c>
      <c r="F99" s="13" t="s">
        <v>34</v>
      </c>
      <c r="G99" s="13" t="s">
        <v>22</v>
      </c>
      <c r="H99" s="13" t="s">
        <v>444</v>
      </c>
      <c r="I99" s="13" t="s">
        <v>36</v>
      </c>
      <c r="J99" s="13" t="s">
        <v>445</v>
      </c>
      <c r="K99" s="13" t="s">
        <v>232</v>
      </c>
      <c r="L99" s="13" t="s">
        <v>39</v>
      </c>
      <c r="M99" s="14" t="s">
        <v>113</v>
      </c>
      <c r="N99" s="13" t="s">
        <v>446</v>
      </c>
      <c r="O99" s="13" t="s">
        <v>30</v>
      </c>
      <c r="P99" s="13" t="s">
        <v>61</v>
      </c>
      <c r="Q99" s="13">
        <v>74.0</v>
      </c>
    </row>
    <row r="100" ht="22.5" customHeight="1">
      <c r="A100" s="12"/>
      <c r="B100" s="13" t="s">
        <v>447</v>
      </c>
      <c r="C100" s="13" t="s">
        <v>54</v>
      </c>
      <c r="D100" s="13" t="s">
        <v>408</v>
      </c>
      <c r="E100" s="13" t="s">
        <v>245</v>
      </c>
      <c r="F100" s="13" t="s">
        <v>47</v>
      </c>
      <c r="G100" s="13" t="s">
        <v>48</v>
      </c>
      <c r="H100" s="13" t="s">
        <v>409</v>
      </c>
      <c r="I100" s="13" t="s">
        <v>122</v>
      </c>
      <c r="J100" s="13" t="s">
        <v>141</v>
      </c>
      <c r="K100" s="13" t="s">
        <v>38</v>
      </c>
      <c r="L100" s="13" t="s">
        <v>39</v>
      </c>
      <c r="M100" s="14" t="s">
        <v>28</v>
      </c>
      <c r="N100" s="13" t="s">
        <v>108</v>
      </c>
      <c r="O100" s="13" t="s">
        <v>52</v>
      </c>
      <c r="P100" s="13" t="s">
        <v>43</v>
      </c>
      <c r="Q100" s="13">
        <v>19.0</v>
      </c>
    </row>
    <row r="101" ht="22.5" customHeight="1">
      <c r="A101" s="12"/>
      <c r="B101" s="13" t="s">
        <v>448</v>
      </c>
      <c r="C101" s="13" t="s">
        <v>31</v>
      </c>
      <c r="D101" s="13" t="s">
        <v>102</v>
      </c>
      <c r="E101" s="13" t="s">
        <v>33</v>
      </c>
      <c r="F101" s="13" t="s">
        <v>200</v>
      </c>
      <c r="G101" s="13" t="s">
        <v>22</v>
      </c>
      <c r="H101" s="13" t="s">
        <v>104</v>
      </c>
      <c r="I101" s="13" t="s">
        <v>24</v>
      </c>
      <c r="J101" s="13" t="s">
        <v>37</v>
      </c>
      <c r="K101" s="13" t="s">
        <v>26</v>
      </c>
      <c r="L101" s="13" t="s">
        <v>50</v>
      </c>
      <c r="M101" s="13">
        <v>0.0</v>
      </c>
      <c r="N101" s="13" t="s">
        <v>299</v>
      </c>
      <c r="O101" s="13" t="s">
        <v>52</v>
      </c>
      <c r="P101" s="13" t="s">
        <v>61</v>
      </c>
      <c r="Q101" s="13">
        <v>24.0</v>
      </c>
    </row>
    <row r="102" ht="22.5" customHeight="1">
      <c r="A102" s="12"/>
      <c r="B102" s="13" t="s">
        <v>449</v>
      </c>
      <c r="C102" s="14" t="s">
        <v>18</v>
      </c>
      <c r="D102" s="13" t="s">
        <v>151</v>
      </c>
      <c r="E102" s="13" t="s">
        <v>33</v>
      </c>
      <c r="F102" s="13" t="s">
        <v>200</v>
      </c>
      <c r="G102" s="13" t="s">
        <v>22</v>
      </c>
      <c r="H102" s="13" t="s">
        <v>366</v>
      </c>
      <c r="I102" s="13" t="s">
        <v>24</v>
      </c>
      <c r="J102" s="13" t="s">
        <v>231</v>
      </c>
      <c r="K102" s="13" t="s">
        <v>67</v>
      </c>
      <c r="L102" s="13" t="s">
        <v>50</v>
      </c>
      <c r="M102" s="13">
        <v>0.0</v>
      </c>
      <c r="N102" s="13" t="s">
        <v>124</v>
      </c>
      <c r="O102" s="13" t="s">
        <v>30</v>
      </c>
      <c r="P102" s="13" t="s">
        <v>43</v>
      </c>
      <c r="Q102" s="13">
        <v>24.0</v>
      </c>
    </row>
    <row r="103" ht="22.5" customHeight="1">
      <c r="A103" s="12"/>
      <c r="B103" s="13" t="s">
        <v>450</v>
      </c>
      <c r="C103" s="14" t="s">
        <v>28</v>
      </c>
      <c r="D103" s="13" t="s">
        <v>451</v>
      </c>
      <c r="E103" s="13" t="s">
        <v>255</v>
      </c>
      <c r="F103" s="13" t="s">
        <v>34</v>
      </c>
      <c r="G103" s="13" t="s">
        <v>30</v>
      </c>
      <c r="H103" s="13" t="s">
        <v>409</v>
      </c>
      <c r="I103" s="13" t="s">
        <v>105</v>
      </c>
      <c r="J103" s="13" t="s">
        <v>112</v>
      </c>
      <c r="K103" s="13" t="s">
        <v>26</v>
      </c>
      <c r="L103" s="13" t="s">
        <v>39</v>
      </c>
      <c r="M103" s="14" t="s">
        <v>28</v>
      </c>
      <c r="N103" s="13" t="s">
        <v>216</v>
      </c>
      <c r="O103" s="13" t="s">
        <v>30</v>
      </c>
      <c r="P103" s="13" t="s">
        <v>397</v>
      </c>
      <c r="Q103" s="13">
        <v>19.0</v>
      </c>
    </row>
    <row r="104" ht="22.5" customHeight="1">
      <c r="A104" s="12"/>
      <c r="B104" s="13" t="s">
        <v>452</v>
      </c>
      <c r="C104" s="13" t="s">
        <v>31</v>
      </c>
      <c r="D104" s="13" t="s">
        <v>55</v>
      </c>
      <c r="E104" s="13" t="s">
        <v>33</v>
      </c>
      <c r="F104" s="13" t="s">
        <v>21</v>
      </c>
      <c r="G104" s="13" t="s">
        <v>22</v>
      </c>
      <c r="H104" s="13" t="s">
        <v>453</v>
      </c>
      <c r="I104" s="13" t="s">
        <v>24</v>
      </c>
      <c r="J104" s="13" t="s">
        <v>112</v>
      </c>
      <c r="K104" s="13" t="s">
        <v>38</v>
      </c>
      <c r="L104" s="13" t="s">
        <v>39</v>
      </c>
      <c r="M104" s="14" t="s">
        <v>113</v>
      </c>
      <c r="N104" s="13" t="s">
        <v>454</v>
      </c>
      <c r="O104" s="13" t="s">
        <v>30</v>
      </c>
      <c r="P104" s="13" t="s">
        <v>43</v>
      </c>
      <c r="Q104" s="13">
        <v>19.0</v>
      </c>
    </row>
    <row r="105" ht="22.5" customHeight="1">
      <c r="A105" s="12"/>
      <c r="B105" s="13" t="s">
        <v>455</v>
      </c>
      <c r="C105" s="13" t="s">
        <v>31</v>
      </c>
      <c r="D105" s="13" t="s">
        <v>456</v>
      </c>
      <c r="E105" s="13" t="s">
        <v>64</v>
      </c>
      <c r="F105" s="13" t="s">
        <v>34</v>
      </c>
      <c r="G105" s="13" t="s">
        <v>48</v>
      </c>
      <c r="H105" s="13" t="s">
        <v>251</v>
      </c>
      <c r="I105" s="13" t="s">
        <v>24</v>
      </c>
      <c r="J105" s="13" t="s">
        <v>112</v>
      </c>
      <c r="K105" s="13" t="s">
        <v>38</v>
      </c>
      <c r="L105" s="13" t="s">
        <v>50</v>
      </c>
      <c r="M105" s="13">
        <v>0.0</v>
      </c>
      <c r="N105" s="13" t="s">
        <v>457</v>
      </c>
      <c r="O105" s="13" t="s">
        <v>30</v>
      </c>
      <c r="P105" s="13" t="s">
        <v>43</v>
      </c>
      <c r="Q105" s="13">
        <v>20.0</v>
      </c>
    </row>
    <row r="106" ht="22.5" customHeight="1">
      <c r="A106" s="12"/>
      <c r="B106" s="13" t="s">
        <v>458</v>
      </c>
      <c r="C106" s="13" t="s">
        <v>31</v>
      </c>
      <c r="D106" s="13" t="s">
        <v>102</v>
      </c>
      <c r="E106" s="13" t="s">
        <v>33</v>
      </c>
      <c r="F106" s="13" t="s">
        <v>78</v>
      </c>
      <c r="G106" s="13" t="s">
        <v>60</v>
      </c>
      <c r="H106" s="13" t="s">
        <v>459</v>
      </c>
      <c r="I106" s="13" t="s">
        <v>122</v>
      </c>
      <c r="J106" s="13" t="s">
        <v>106</v>
      </c>
      <c r="K106" s="13" t="s">
        <v>38</v>
      </c>
      <c r="L106" s="13" t="s">
        <v>39</v>
      </c>
      <c r="M106" s="14" t="s">
        <v>113</v>
      </c>
      <c r="N106" s="13" t="s">
        <v>165</v>
      </c>
      <c r="O106" s="13" t="s">
        <v>60</v>
      </c>
      <c r="P106" s="13" t="s">
        <v>61</v>
      </c>
      <c r="Q106" s="13">
        <v>19.0</v>
      </c>
    </row>
    <row r="107" ht="22.5" customHeight="1">
      <c r="A107" s="12"/>
      <c r="B107" s="13" t="s">
        <v>460</v>
      </c>
      <c r="C107" s="13" t="s">
        <v>31</v>
      </c>
      <c r="D107" s="13" t="s">
        <v>461</v>
      </c>
      <c r="E107" s="13" t="s">
        <v>174</v>
      </c>
      <c r="F107" s="13" t="s">
        <v>34</v>
      </c>
      <c r="G107" s="13" t="s">
        <v>48</v>
      </c>
      <c r="H107" s="13" t="s">
        <v>462</v>
      </c>
      <c r="I107" s="13" t="s">
        <v>24</v>
      </c>
      <c r="J107" s="13" t="s">
        <v>112</v>
      </c>
      <c r="K107" s="13" t="s">
        <v>38</v>
      </c>
      <c r="L107" s="13" t="s">
        <v>50</v>
      </c>
      <c r="M107" s="13" t="s">
        <v>40</v>
      </c>
      <c r="N107" s="13" t="s">
        <v>463</v>
      </c>
      <c r="O107" s="13" t="s">
        <v>30</v>
      </c>
      <c r="P107" s="13" t="s">
        <v>61</v>
      </c>
      <c r="Q107" s="13">
        <v>20.0</v>
      </c>
    </row>
    <row r="108" ht="22.5" customHeight="1">
      <c r="A108" s="12"/>
      <c r="B108" s="13" t="s">
        <v>464</v>
      </c>
      <c r="C108" s="13" t="s">
        <v>31</v>
      </c>
      <c r="D108" s="13" t="s">
        <v>465</v>
      </c>
      <c r="E108" s="13" t="s">
        <v>411</v>
      </c>
      <c r="F108" s="13" t="s">
        <v>78</v>
      </c>
      <c r="G108" s="13" t="s">
        <v>60</v>
      </c>
      <c r="H108" s="13" t="s">
        <v>466</v>
      </c>
      <c r="I108" s="13" t="s">
        <v>36</v>
      </c>
      <c r="J108" s="13" t="s">
        <v>467</v>
      </c>
      <c r="K108" s="13" t="s">
        <v>38</v>
      </c>
      <c r="L108" s="13" t="s">
        <v>39</v>
      </c>
      <c r="M108" s="14" t="s">
        <v>113</v>
      </c>
      <c r="N108" s="13" t="s">
        <v>352</v>
      </c>
      <c r="O108" s="13" t="s">
        <v>30</v>
      </c>
      <c r="P108" s="13" t="s">
        <v>43</v>
      </c>
      <c r="Q108" s="13">
        <v>20.0</v>
      </c>
    </row>
    <row r="109" ht="22.5" customHeight="1">
      <c r="A109" s="12"/>
      <c r="B109" s="13" t="s">
        <v>468</v>
      </c>
      <c r="C109" s="14" t="s">
        <v>18</v>
      </c>
      <c r="D109" s="13" t="s">
        <v>469</v>
      </c>
      <c r="E109" s="13" t="s">
        <v>64</v>
      </c>
      <c r="F109" s="13" t="s">
        <v>21</v>
      </c>
      <c r="G109" s="13" t="s">
        <v>22</v>
      </c>
      <c r="H109" s="13" t="s">
        <v>392</v>
      </c>
      <c r="I109" s="13" t="s">
        <v>36</v>
      </c>
      <c r="J109" s="13" t="s">
        <v>470</v>
      </c>
      <c r="K109" s="13" t="s">
        <v>67</v>
      </c>
      <c r="L109" s="13" t="s">
        <v>107</v>
      </c>
      <c r="M109" s="13" t="s">
        <v>40</v>
      </c>
      <c r="N109" s="13" t="s">
        <v>133</v>
      </c>
      <c r="O109" s="13" t="s">
        <v>60</v>
      </c>
      <c r="P109" s="13" t="s">
        <v>43</v>
      </c>
      <c r="Q109" s="13">
        <v>19.0</v>
      </c>
    </row>
    <row r="110" ht="22.5" customHeight="1">
      <c r="A110" s="12"/>
      <c r="B110" s="13" t="s">
        <v>471</v>
      </c>
      <c r="C110" s="13" t="s">
        <v>31</v>
      </c>
      <c r="D110" s="13" t="s">
        <v>472</v>
      </c>
      <c r="E110" s="13" t="s">
        <v>158</v>
      </c>
      <c r="F110" s="13" t="s">
        <v>34</v>
      </c>
      <c r="G110" s="13" t="s">
        <v>22</v>
      </c>
      <c r="H110" s="13" t="s">
        <v>203</v>
      </c>
      <c r="I110" s="13" t="s">
        <v>24</v>
      </c>
      <c r="J110" s="13" t="s">
        <v>473</v>
      </c>
      <c r="K110" s="13" t="s">
        <v>67</v>
      </c>
      <c r="L110" s="13" t="s">
        <v>39</v>
      </c>
      <c r="M110" s="13" t="s">
        <v>40</v>
      </c>
      <c r="N110" s="13" t="s">
        <v>474</v>
      </c>
      <c r="O110" s="13" t="s">
        <v>60</v>
      </c>
      <c r="P110" s="13" t="s">
        <v>43</v>
      </c>
      <c r="Q110" s="13">
        <v>19.0</v>
      </c>
    </row>
    <row r="111" ht="22.5" customHeight="1">
      <c r="A111" s="12"/>
      <c r="B111" s="13" t="s">
        <v>475</v>
      </c>
      <c r="C111" s="14" t="s">
        <v>28</v>
      </c>
      <c r="D111" s="13" t="s">
        <v>476</v>
      </c>
      <c r="E111" s="13" t="s">
        <v>33</v>
      </c>
      <c r="F111" s="13" t="s">
        <v>103</v>
      </c>
      <c r="G111" s="13" t="s">
        <v>30</v>
      </c>
      <c r="H111" s="13" t="s">
        <v>477</v>
      </c>
      <c r="I111" s="13" t="s">
        <v>36</v>
      </c>
      <c r="J111" s="13" t="s">
        <v>37</v>
      </c>
      <c r="K111" s="13" t="s">
        <v>26</v>
      </c>
      <c r="L111" s="13" t="s">
        <v>50</v>
      </c>
      <c r="M111" s="14" t="s">
        <v>28</v>
      </c>
      <c r="N111" s="13" t="s">
        <v>383</v>
      </c>
      <c r="O111" s="13" t="s">
        <v>60</v>
      </c>
      <c r="P111" s="13" t="s">
        <v>61</v>
      </c>
      <c r="Q111" s="13">
        <v>19.0</v>
      </c>
    </row>
    <row r="112" ht="22.5" customHeight="1">
      <c r="A112" s="12"/>
      <c r="B112" s="13" t="s">
        <v>478</v>
      </c>
      <c r="C112" s="13" t="s">
        <v>31</v>
      </c>
      <c r="D112" s="13" t="s">
        <v>214</v>
      </c>
      <c r="E112" s="13" t="s">
        <v>125</v>
      </c>
      <c r="F112" s="13" t="s">
        <v>78</v>
      </c>
      <c r="G112" s="13" t="s">
        <v>48</v>
      </c>
      <c r="H112" s="13" t="s">
        <v>479</v>
      </c>
      <c r="I112" s="13" t="s">
        <v>24</v>
      </c>
      <c r="J112" s="13" t="s">
        <v>112</v>
      </c>
      <c r="K112" s="13" t="s">
        <v>67</v>
      </c>
      <c r="L112" s="13" t="s">
        <v>50</v>
      </c>
      <c r="M112" s="13">
        <v>0.0</v>
      </c>
      <c r="N112" s="13" t="s">
        <v>480</v>
      </c>
      <c r="O112" s="13" t="s">
        <v>52</v>
      </c>
      <c r="P112" s="13" t="s">
        <v>43</v>
      </c>
      <c r="Q112" s="13">
        <v>19.0</v>
      </c>
    </row>
    <row r="113" ht="22.5" customHeight="1">
      <c r="A113" s="12"/>
      <c r="B113" s="13" t="s">
        <v>481</v>
      </c>
      <c r="C113" s="13" t="s">
        <v>31</v>
      </c>
      <c r="D113" s="13" t="s">
        <v>102</v>
      </c>
      <c r="E113" s="13" t="s">
        <v>346</v>
      </c>
      <c r="F113" s="13" t="s">
        <v>200</v>
      </c>
      <c r="G113" s="13" t="s">
        <v>60</v>
      </c>
      <c r="H113" s="13" t="s">
        <v>366</v>
      </c>
      <c r="I113" s="13" t="s">
        <v>122</v>
      </c>
      <c r="J113" s="13" t="s">
        <v>112</v>
      </c>
      <c r="K113" s="13" t="s">
        <v>67</v>
      </c>
      <c r="L113" s="13" t="s">
        <v>107</v>
      </c>
      <c r="M113" s="13">
        <v>0.0</v>
      </c>
      <c r="N113" s="13" t="s">
        <v>329</v>
      </c>
      <c r="O113" s="13" t="s">
        <v>60</v>
      </c>
      <c r="P113" s="13" t="s">
        <v>61</v>
      </c>
      <c r="Q113" s="13">
        <v>6.0</v>
      </c>
    </row>
    <row r="114" ht="22.5" customHeight="1">
      <c r="A114" s="12"/>
      <c r="B114" s="13" t="s">
        <v>482</v>
      </c>
      <c r="C114" s="13" t="s">
        <v>31</v>
      </c>
      <c r="D114" s="13" t="s">
        <v>211</v>
      </c>
      <c r="E114" s="13" t="s">
        <v>483</v>
      </c>
      <c r="F114" s="13" t="s">
        <v>21</v>
      </c>
      <c r="G114" s="13" t="s">
        <v>22</v>
      </c>
      <c r="H114" s="13" t="s">
        <v>484</v>
      </c>
      <c r="I114" s="13" t="s">
        <v>36</v>
      </c>
      <c r="J114" s="13" t="s">
        <v>328</v>
      </c>
      <c r="K114" s="13" t="s">
        <v>67</v>
      </c>
      <c r="L114" s="13" t="s">
        <v>39</v>
      </c>
      <c r="M114" s="14" t="s">
        <v>28</v>
      </c>
      <c r="N114" s="13" t="s">
        <v>485</v>
      </c>
      <c r="O114" s="13" t="s">
        <v>30</v>
      </c>
      <c r="P114" s="13" t="s">
        <v>43</v>
      </c>
      <c r="Q114" s="13">
        <v>20.0</v>
      </c>
    </row>
    <row r="115" ht="22.5" customHeight="1">
      <c r="A115" s="12"/>
      <c r="B115" s="13" t="s">
        <v>486</v>
      </c>
      <c r="C115" s="13" t="s">
        <v>31</v>
      </c>
      <c r="D115" s="13" t="s">
        <v>260</v>
      </c>
      <c r="E115" s="13" t="s">
        <v>33</v>
      </c>
      <c r="F115" s="13" t="s">
        <v>21</v>
      </c>
      <c r="G115" s="13" t="s">
        <v>60</v>
      </c>
      <c r="H115" s="13" t="s">
        <v>487</v>
      </c>
      <c r="I115" s="13" t="s">
        <v>24</v>
      </c>
      <c r="J115" s="13" t="s">
        <v>25</v>
      </c>
      <c r="K115" s="13" t="s">
        <v>38</v>
      </c>
      <c r="L115" s="13" t="s">
        <v>50</v>
      </c>
      <c r="M115" s="14" t="s">
        <v>113</v>
      </c>
      <c r="N115" s="13" t="s">
        <v>165</v>
      </c>
      <c r="O115" s="13" t="s">
        <v>52</v>
      </c>
      <c r="P115" s="13" t="s">
        <v>61</v>
      </c>
      <c r="Q115" s="13">
        <v>19.0</v>
      </c>
    </row>
    <row r="116" ht="22.5" customHeight="1">
      <c r="A116" s="12"/>
      <c r="C116" s="13" t="s">
        <v>31</v>
      </c>
      <c r="D116" s="13" t="s">
        <v>102</v>
      </c>
      <c r="E116" s="13" t="s">
        <v>33</v>
      </c>
      <c r="F116" s="13" t="s">
        <v>47</v>
      </c>
      <c r="G116" s="13" t="s">
        <v>30</v>
      </c>
      <c r="H116" s="13" t="s">
        <v>104</v>
      </c>
      <c r="I116" s="13" t="s">
        <v>105</v>
      </c>
      <c r="J116" s="13" t="s">
        <v>112</v>
      </c>
      <c r="K116" s="13" t="s">
        <v>67</v>
      </c>
      <c r="L116" s="13" t="s">
        <v>39</v>
      </c>
      <c r="M116" s="13">
        <v>0.0</v>
      </c>
      <c r="N116" s="13" t="s">
        <v>216</v>
      </c>
      <c r="O116" s="13" t="s">
        <v>30</v>
      </c>
      <c r="P116" s="13" t="s">
        <v>43</v>
      </c>
      <c r="Q116" s="13">
        <v>19.0</v>
      </c>
    </row>
    <row r="117" ht="22.5" customHeight="1">
      <c r="A117" s="12"/>
      <c r="B117" s="13" t="s">
        <v>488</v>
      </c>
      <c r="C117" s="13" t="s">
        <v>31</v>
      </c>
      <c r="D117" s="13" t="s">
        <v>102</v>
      </c>
      <c r="E117" s="13" t="s">
        <v>218</v>
      </c>
      <c r="F117" s="13" t="s">
        <v>21</v>
      </c>
      <c r="G117" s="13" t="s">
        <v>22</v>
      </c>
      <c r="H117" s="13" t="s">
        <v>489</v>
      </c>
      <c r="I117" s="13" t="s">
        <v>36</v>
      </c>
      <c r="J117" s="13" t="s">
        <v>112</v>
      </c>
      <c r="K117" s="13" t="s">
        <v>38</v>
      </c>
      <c r="L117" s="13" t="s">
        <v>107</v>
      </c>
      <c r="M117" s="14" t="s">
        <v>113</v>
      </c>
      <c r="N117" s="13" t="s">
        <v>266</v>
      </c>
      <c r="O117" s="13" t="s">
        <v>30</v>
      </c>
      <c r="P117" s="13" t="s">
        <v>43</v>
      </c>
      <c r="Q117" s="13">
        <v>19.0</v>
      </c>
    </row>
    <row r="118" ht="22.5" customHeight="1">
      <c r="A118" s="12"/>
      <c r="B118" s="13" t="s">
        <v>490</v>
      </c>
      <c r="C118" s="13" t="s">
        <v>31</v>
      </c>
      <c r="D118" s="13" t="s">
        <v>491</v>
      </c>
      <c r="E118" s="13" t="s">
        <v>174</v>
      </c>
      <c r="F118" s="13" t="s">
        <v>21</v>
      </c>
      <c r="G118" s="13" t="s">
        <v>30</v>
      </c>
      <c r="H118" s="13" t="s">
        <v>492</v>
      </c>
      <c r="I118" s="13" t="s">
        <v>24</v>
      </c>
      <c r="J118" s="13" t="s">
        <v>170</v>
      </c>
      <c r="K118" s="13" t="s">
        <v>67</v>
      </c>
      <c r="L118" s="13" t="s">
        <v>27</v>
      </c>
      <c r="M118" s="14" t="s">
        <v>28</v>
      </c>
      <c r="N118" s="13" t="s">
        <v>165</v>
      </c>
      <c r="O118" s="13" t="s">
        <v>30</v>
      </c>
      <c r="P118" s="13" t="s">
        <v>61</v>
      </c>
      <c r="Q118" s="13">
        <v>20.0</v>
      </c>
    </row>
    <row r="119" ht="22.5" customHeight="1">
      <c r="A119" s="12"/>
      <c r="B119" s="13" t="s">
        <v>493</v>
      </c>
      <c r="C119" s="14" t="s">
        <v>18</v>
      </c>
      <c r="D119" s="13" t="s">
        <v>151</v>
      </c>
      <c r="E119" s="13" t="s">
        <v>33</v>
      </c>
      <c r="F119" s="13" t="s">
        <v>34</v>
      </c>
      <c r="G119" s="13" t="s">
        <v>48</v>
      </c>
      <c r="H119" s="13" t="s">
        <v>494</v>
      </c>
      <c r="I119" s="13" t="s">
        <v>24</v>
      </c>
      <c r="J119" s="13" t="s">
        <v>37</v>
      </c>
      <c r="K119" s="13" t="s">
        <v>26</v>
      </c>
      <c r="L119" s="13" t="s">
        <v>39</v>
      </c>
      <c r="M119" s="14" t="s">
        <v>113</v>
      </c>
      <c r="N119" s="13" t="s">
        <v>149</v>
      </c>
      <c r="O119" s="13" t="s">
        <v>52</v>
      </c>
      <c r="P119" s="13" t="s">
        <v>61</v>
      </c>
      <c r="Q119" s="13">
        <v>19.0</v>
      </c>
    </row>
    <row r="120" ht="22.5" customHeight="1">
      <c r="A120" s="12"/>
      <c r="C120" s="13" t="s">
        <v>31</v>
      </c>
      <c r="D120" s="13" t="s">
        <v>151</v>
      </c>
      <c r="E120" s="13" t="s">
        <v>64</v>
      </c>
      <c r="F120" s="13" t="s">
        <v>21</v>
      </c>
      <c r="G120" s="13" t="s">
        <v>22</v>
      </c>
      <c r="H120" s="13" t="s">
        <v>495</v>
      </c>
      <c r="I120" s="13" t="s">
        <v>36</v>
      </c>
      <c r="J120" s="13" t="s">
        <v>496</v>
      </c>
      <c r="K120" s="13" t="s">
        <v>67</v>
      </c>
      <c r="L120" s="13" t="s">
        <v>39</v>
      </c>
      <c r="M120" s="14" t="s">
        <v>113</v>
      </c>
      <c r="N120" s="13" t="s">
        <v>497</v>
      </c>
      <c r="O120" s="13" t="s">
        <v>30</v>
      </c>
      <c r="P120" s="13" t="s">
        <v>61</v>
      </c>
      <c r="Q120" s="13">
        <v>19.0</v>
      </c>
    </row>
    <row r="121" ht="22.5" customHeight="1">
      <c r="A121" s="12"/>
      <c r="B121" s="13" t="s">
        <v>498</v>
      </c>
      <c r="C121" s="13" t="s">
        <v>31</v>
      </c>
      <c r="D121" s="13" t="s">
        <v>499</v>
      </c>
      <c r="E121" s="13" t="s">
        <v>33</v>
      </c>
      <c r="F121" s="13" t="s">
        <v>34</v>
      </c>
      <c r="G121" s="13" t="s">
        <v>60</v>
      </c>
      <c r="H121" s="13" t="s">
        <v>500</v>
      </c>
      <c r="I121" s="13" t="s">
        <v>36</v>
      </c>
      <c r="J121" s="13" t="s">
        <v>141</v>
      </c>
      <c r="K121" s="13" t="s">
        <v>58</v>
      </c>
      <c r="L121" s="13" t="s">
        <v>39</v>
      </c>
      <c r="M121" s="14" t="s">
        <v>113</v>
      </c>
      <c r="N121" s="13" t="s">
        <v>124</v>
      </c>
      <c r="O121" s="13" t="s">
        <v>60</v>
      </c>
      <c r="P121" s="13" t="s">
        <v>61</v>
      </c>
      <c r="Q121" s="13">
        <v>19.0</v>
      </c>
    </row>
    <row r="122" ht="22.5" customHeight="1">
      <c r="A122" s="12"/>
      <c r="B122" s="13" t="s">
        <v>501</v>
      </c>
      <c r="C122" s="13" t="s">
        <v>31</v>
      </c>
      <c r="D122" s="13" t="s">
        <v>55</v>
      </c>
      <c r="E122" s="13" t="s">
        <v>33</v>
      </c>
      <c r="F122" s="13" t="s">
        <v>34</v>
      </c>
      <c r="G122" s="13" t="s">
        <v>60</v>
      </c>
      <c r="H122" s="13" t="s">
        <v>502</v>
      </c>
      <c r="I122" s="13" t="s">
        <v>36</v>
      </c>
      <c r="J122" s="13" t="s">
        <v>141</v>
      </c>
      <c r="K122" s="13" t="s">
        <v>58</v>
      </c>
      <c r="L122" s="13" t="s">
        <v>39</v>
      </c>
      <c r="M122" s="14" t="s">
        <v>113</v>
      </c>
      <c r="N122" s="13" t="s">
        <v>108</v>
      </c>
      <c r="O122" s="13" t="s">
        <v>60</v>
      </c>
      <c r="P122" s="13" t="s">
        <v>61</v>
      </c>
      <c r="Q122" s="13">
        <v>18.0</v>
      </c>
    </row>
    <row r="123" ht="22.5" customHeight="1">
      <c r="A123" s="12"/>
      <c r="C123" s="13" t="s">
        <v>31</v>
      </c>
      <c r="D123" s="13" t="s">
        <v>472</v>
      </c>
      <c r="E123" s="13" t="s">
        <v>202</v>
      </c>
      <c r="F123" s="13" t="s">
        <v>103</v>
      </c>
      <c r="G123" s="13" t="s">
        <v>22</v>
      </c>
      <c r="H123" s="13" t="s">
        <v>392</v>
      </c>
      <c r="I123" s="13" t="s">
        <v>24</v>
      </c>
      <c r="J123" s="13" t="s">
        <v>146</v>
      </c>
      <c r="K123" s="13" t="s">
        <v>26</v>
      </c>
      <c r="L123" s="13" t="s">
        <v>50</v>
      </c>
      <c r="M123" s="14" t="s">
        <v>28</v>
      </c>
      <c r="N123" s="13" t="s">
        <v>503</v>
      </c>
      <c r="O123" s="13" t="s">
        <v>60</v>
      </c>
      <c r="P123" s="13" t="s">
        <v>43</v>
      </c>
      <c r="Q123" s="13">
        <v>19.0</v>
      </c>
    </row>
    <row r="124" ht="22.5" customHeight="1">
      <c r="A124" s="12"/>
      <c r="B124" s="13" t="s">
        <v>504</v>
      </c>
      <c r="C124" s="13" t="s">
        <v>31</v>
      </c>
      <c r="D124" s="13" t="s">
        <v>102</v>
      </c>
      <c r="E124" s="13" t="s">
        <v>33</v>
      </c>
      <c r="F124" s="13" t="s">
        <v>78</v>
      </c>
      <c r="G124" s="13" t="s">
        <v>48</v>
      </c>
      <c r="H124" s="13" t="s">
        <v>505</v>
      </c>
      <c r="I124" s="13" t="s">
        <v>36</v>
      </c>
      <c r="J124" s="13" t="s">
        <v>506</v>
      </c>
      <c r="K124" s="13" t="s">
        <v>232</v>
      </c>
      <c r="L124" s="13" t="s">
        <v>27</v>
      </c>
      <c r="M124" s="14" t="s">
        <v>28</v>
      </c>
      <c r="N124" s="13" t="s">
        <v>142</v>
      </c>
      <c r="O124" s="13" t="s">
        <v>42</v>
      </c>
      <c r="P124" s="13" t="s">
        <v>43</v>
      </c>
      <c r="Q124" s="13">
        <v>20.0</v>
      </c>
    </row>
    <row r="125" ht="22.5" customHeight="1">
      <c r="A125" s="12"/>
      <c r="C125" s="13" t="s">
        <v>31</v>
      </c>
      <c r="D125" s="13" t="s">
        <v>361</v>
      </c>
      <c r="E125" s="13" t="s">
        <v>202</v>
      </c>
      <c r="F125" s="13" t="s">
        <v>21</v>
      </c>
      <c r="G125" s="13" t="s">
        <v>48</v>
      </c>
      <c r="H125" s="13" t="s">
        <v>104</v>
      </c>
      <c r="I125" s="13" t="s">
        <v>122</v>
      </c>
      <c r="J125" s="13" t="s">
        <v>507</v>
      </c>
      <c r="K125" s="13" t="s">
        <v>67</v>
      </c>
      <c r="L125" s="13" t="s">
        <v>50</v>
      </c>
      <c r="M125" s="14" t="s">
        <v>113</v>
      </c>
      <c r="N125" s="13" t="s">
        <v>171</v>
      </c>
      <c r="O125" s="13" t="s">
        <v>60</v>
      </c>
      <c r="P125" s="13" t="s">
        <v>43</v>
      </c>
      <c r="Q125" s="13">
        <v>20.0</v>
      </c>
    </row>
    <row r="126" ht="22.5" customHeight="1">
      <c r="A126" s="12"/>
      <c r="B126" s="13" t="s">
        <v>508</v>
      </c>
      <c r="C126" s="14" t="s">
        <v>28</v>
      </c>
      <c r="D126" s="13" t="s">
        <v>129</v>
      </c>
      <c r="E126" s="13" t="s">
        <v>509</v>
      </c>
      <c r="F126" s="13" t="s">
        <v>34</v>
      </c>
      <c r="G126" s="13" t="s">
        <v>60</v>
      </c>
      <c r="H126" s="13" t="s">
        <v>104</v>
      </c>
      <c r="I126" s="13" t="s">
        <v>36</v>
      </c>
      <c r="J126" s="13" t="s">
        <v>318</v>
      </c>
      <c r="K126" s="13" t="s">
        <v>67</v>
      </c>
      <c r="L126" s="13" t="s">
        <v>39</v>
      </c>
      <c r="M126" s="14" t="s">
        <v>113</v>
      </c>
      <c r="N126" s="13" t="s">
        <v>262</v>
      </c>
      <c r="O126" s="13" t="s">
        <v>30</v>
      </c>
      <c r="P126" s="13" t="s">
        <v>43</v>
      </c>
      <c r="Q126" s="13">
        <v>19.0</v>
      </c>
    </row>
    <row r="127" ht="22.5" customHeight="1">
      <c r="A127" s="12"/>
      <c r="C127" s="14" t="s">
        <v>28</v>
      </c>
      <c r="D127" s="13" t="s">
        <v>451</v>
      </c>
      <c r="E127" s="13" t="s">
        <v>202</v>
      </c>
      <c r="F127" s="13" t="s">
        <v>78</v>
      </c>
      <c r="G127" s="13" t="s">
        <v>48</v>
      </c>
      <c r="H127" s="13" t="s">
        <v>510</v>
      </c>
      <c r="I127" s="13" t="s">
        <v>36</v>
      </c>
      <c r="J127" s="13" t="s">
        <v>467</v>
      </c>
      <c r="K127" s="13" t="s">
        <v>26</v>
      </c>
      <c r="L127" s="13" t="s">
        <v>39</v>
      </c>
      <c r="M127" s="14" t="s">
        <v>28</v>
      </c>
      <c r="N127" s="13" t="s">
        <v>511</v>
      </c>
      <c r="O127" s="13" t="s">
        <v>30</v>
      </c>
      <c r="P127" s="13" t="s">
        <v>43</v>
      </c>
      <c r="Q127" s="13">
        <v>19.0</v>
      </c>
    </row>
    <row r="128" ht="22.5" customHeight="1">
      <c r="A128" s="12"/>
      <c r="B128" s="13" t="s">
        <v>512</v>
      </c>
      <c r="C128" s="13" t="s">
        <v>31</v>
      </c>
      <c r="D128" s="13" t="s">
        <v>151</v>
      </c>
      <c r="E128" s="13" t="s">
        <v>202</v>
      </c>
      <c r="F128" s="13" t="s">
        <v>34</v>
      </c>
      <c r="G128" s="13" t="s">
        <v>60</v>
      </c>
      <c r="H128" s="13" t="s">
        <v>513</v>
      </c>
      <c r="I128" s="13" t="s">
        <v>36</v>
      </c>
      <c r="J128" s="13" t="s">
        <v>514</v>
      </c>
      <c r="K128" s="13" t="s">
        <v>26</v>
      </c>
      <c r="L128" s="13" t="s">
        <v>27</v>
      </c>
      <c r="M128" s="13">
        <v>0.0</v>
      </c>
      <c r="N128" s="13" t="s">
        <v>266</v>
      </c>
      <c r="O128" s="13" t="s">
        <v>60</v>
      </c>
      <c r="P128" s="13" t="s">
        <v>61</v>
      </c>
      <c r="Q128" s="13">
        <v>19.0</v>
      </c>
    </row>
    <row r="129" ht="22.5" customHeight="1">
      <c r="A129" s="12"/>
      <c r="B129" s="13" t="s">
        <v>515</v>
      </c>
      <c r="C129" s="13" t="s">
        <v>31</v>
      </c>
      <c r="D129" s="13" t="s">
        <v>55</v>
      </c>
      <c r="E129" s="13" t="s">
        <v>33</v>
      </c>
      <c r="F129" s="13" t="s">
        <v>78</v>
      </c>
      <c r="G129" s="13" t="s">
        <v>22</v>
      </c>
      <c r="H129" s="13" t="s">
        <v>516</v>
      </c>
      <c r="I129" s="13" t="s">
        <v>122</v>
      </c>
      <c r="J129" s="13" t="s">
        <v>141</v>
      </c>
      <c r="K129" s="13" t="s">
        <v>58</v>
      </c>
      <c r="L129" s="13" t="s">
        <v>27</v>
      </c>
      <c r="M129" s="13">
        <v>0.0</v>
      </c>
      <c r="N129" s="13" t="s">
        <v>308</v>
      </c>
      <c r="O129" s="13" t="s">
        <v>52</v>
      </c>
      <c r="P129" s="13" t="s">
        <v>61</v>
      </c>
      <c r="Q129" s="13">
        <v>18.0</v>
      </c>
    </row>
    <row r="130" ht="22.5" customHeight="1">
      <c r="A130" s="12"/>
      <c r="B130" s="13" t="s">
        <v>517</v>
      </c>
      <c r="C130" s="13" t="s">
        <v>54</v>
      </c>
      <c r="D130" s="13" t="s">
        <v>102</v>
      </c>
      <c r="E130" s="13" t="s">
        <v>33</v>
      </c>
      <c r="F130" s="13" t="s">
        <v>21</v>
      </c>
      <c r="G130" s="13" t="s">
        <v>30</v>
      </c>
      <c r="H130" s="13" t="s">
        <v>518</v>
      </c>
      <c r="I130" s="13" t="s">
        <v>24</v>
      </c>
      <c r="J130" s="13" t="s">
        <v>25</v>
      </c>
      <c r="K130" s="13" t="s">
        <v>26</v>
      </c>
      <c r="L130" s="13" t="s">
        <v>39</v>
      </c>
      <c r="M130" s="13" t="s">
        <v>40</v>
      </c>
      <c r="N130" s="13" t="s">
        <v>519</v>
      </c>
      <c r="O130" s="13" t="s">
        <v>52</v>
      </c>
      <c r="P130" s="13" t="s">
        <v>397</v>
      </c>
      <c r="Q130" s="13" t="s">
        <v>520</v>
      </c>
    </row>
    <row r="131" ht="22.5" customHeight="1">
      <c r="A131" s="12"/>
      <c r="B131" s="13" t="s">
        <v>521</v>
      </c>
      <c r="C131" s="13" t="s">
        <v>31</v>
      </c>
      <c r="D131" s="13" t="s">
        <v>55</v>
      </c>
      <c r="E131" s="13" t="s">
        <v>64</v>
      </c>
      <c r="F131" s="13" t="s">
        <v>21</v>
      </c>
      <c r="G131" s="13" t="s">
        <v>60</v>
      </c>
      <c r="H131" s="13" t="s">
        <v>522</v>
      </c>
      <c r="I131" s="13" t="s">
        <v>24</v>
      </c>
      <c r="J131" s="13" t="s">
        <v>146</v>
      </c>
      <c r="K131" s="13" t="s">
        <v>67</v>
      </c>
      <c r="L131" s="13" t="s">
        <v>39</v>
      </c>
      <c r="M131" s="13">
        <v>0.0</v>
      </c>
      <c r="N131" s="13" t="s">
        <v>262</v>
      </c>
      <c r="O131" s="13" t="s">
        <v>30</v>
      </c>
      <c r="P131" s="13" t="s">
        <v>61</v>
      </c>
      <c r="Q131" s="13">
        <v>19.0</v>
      </c>
    </row>
    <row r="132" ht="22.5" customHeight="1">
      <c r="A132" s="12"/>
      <c r="B132" s="13" t="s">
        <v>523</v>
      </c>
      <c r="C132" s="13" t="s">
        <v>31</v>
      </c>
      <c r="D132" s="13" t="s">
        <v>55</v>
      </c>
      <c r="E132" s="13" t="s">
        <v>524</v>
      </c>
      <c r="F132" s="13" t="s">
        <v>200</v>
      </c>
      <c r="G132" s="13" t="s">
        <v>30</v>
      </c>
      <c r="H132" s="13" t="s">
        <v>525</v>
      </c>
      <c r="I132" s="13" t="s">
        <v>24</v>
      </c>
      <c r="J132" s="13" t="s">
        <v>247</v>
      </c>
      <c r="K132" s="13" t="s">
        <v>38</v>
      </c>
      <c r="L132" s="13" t="s">
        <v>39</v>
      </c>
      <c r="M132" s="13">
        <v>0.0</v>
      </c>
      <c r="N132" s="13" t="s">
        <v>526</v>
      </c>
      <c r="O132" s="13" t="s">
        <v>42</v>
      </c>
      <c r="P132" s="13" t="s">
        <v>43</v>
      </c>
      <c r="Q132" s="13">
        <v>18.0</v>
      </c>
    </row>
    <row r="133" ht="22.5" customHeight="1">
      <c r="A133" s="12"/>
      <c r="B133" s="13" t="s">
        <v>527</v>
      </c>
      <c r="C133" s="13" t="s">
        <v>31</v>
      </c>
      <c r="D133" s="13" t="s">
        <v>55</v>
      </c>
      <c r="E133" s="13" t="s">
        <v>20</v>
      </c>
      <c r="F133" s="13" t="s">
        <v>47</v>
      </c>
      <c r="G133" s="13" t="s">
        <v>60</v>
      </c>
      <c r="H133" s="13" t="s">
        <v>528</v>
      </c>
      <c r="I133" s="13" t="s">
        <v>24</v>
      </c>
      <c r="J133" s="13" t="s">
        <v>37</v>
      </c>
      <c r="K133" s="13" t="s">
        <v>38</v>
      </c>
      <c r="L133" s="13" t="s">
        <v>39</v>
      </c>
      <c r="M133" s="13" t="s">
        <v>40</v>
      </c>
      <c r="N133" s="13" t="s">
        <v>529</v>
      </c>
      <c r="O133" s="13" t="s">
        <v>52</v>
      </c>
      <c r="P133" s="13" t="s">
        <v>43</v>
      </c>
      <c r="Q133" s="13">
        <v>19.0</v>
      </c>
    </row>
    <row r="134" ht="22.5" customHeight="1">
      <c r="A134" s="12"/>
      <c r="B134" s="13" t="s">
        <v>530</v>
      </c>
      <c r="C134" s="13" t="s">
        <v>31</v>
      </c>
      <c r="D134" s="13" t="s">
        <v>135</v>
      </c>
      <c r="E134" s="13" t="s">
        <v>202</v>
      </c>
      <c r="F134" s="13" t="s">
        <v>21</v>
      </c>
      <c r="G134" s="13" t="s">
        <v>30</v>
      </c>
      <c r="H134" s="13" t="s">
        <v>500</v>
      </c>
      <c r="I134" s="13" t="s">
        <v>24</v>
      </c>
      <c r="J134" s="13" t="s">
        <v>531</v>
      </c>
      <c r="K134" s="13" t="s">
        <v>26</v>
      </c>
      <c r="L134" s="13" t="s">
        <v>50</v>
      </c>
      <c r="M134" s="14" t="s">
        <v>113</v>
      </c>
      <c r="N134" s="13" t="s">
        <v>532</v>
      </c>
      <c r="O134" s="13" t="s">
        <v>30</v>
      </c>
      <c r="P134" s="13" t="s">
        <v>43</v>
      </c>
      <c r="Q134" s="13">
        <v>19.0</v>
      </c>
    </row>
    <row r="135" ht="22.5" customHeight="1">
      <c r="A135" s="12"/>
      <c r="B135" s="13" t="s">
        <v>542</v>
      </c>
      <c r="C135" s="13" t="s">
        <v>31</v>
      </c>
      <c r="D135" s="13" t="s">
        <v>144</v>
      </c>
      <c r="E135" s="13" t="s">
        <v>543</v>
      </c>
      <c r="F135" s="13" t="s">
        <v>47</v>
      </c>
      <c r="G135" s="13" t="s">
        <v>48</v>
      </c>
      <c r="H135" s="13" t="s">
        <v>544</v>
      </c>
      <c r="I135" s="13" t="s">
        <v>24</v>
      </c>
      <c r="J135" s="13" t="s">
        <v>106</v>
      </c>
      <c r="K135" s="13" t="s">
        <v>26</v>
      </c>
      <c r="L135" s="13" t="s">
        <v>50</v>
      </c>
      <c r="M135" s="14" t="s">
        <v>113</v>
      </c>
      <c r="N135" s="13" t="s">
        <v>545</v>
      </c>
      <c r="O135" s="13" t="s">
        <v>52</v>
      </c>
      <c r="P135" s="13" t="s">
        <v>61</v>
      </c>
      <c r="Q135" s="13">
        <v>24.0</v>
      </c>
    </row>
    <row r="136" ht="22.5" customHeight="1">
      <c r="A136" s="12"/>
      <c r="B136" s="13" t="s">
        <v>547</v>
      </c>
      <c r="C136" s="14" t="s">
        <v>28</v>
      </c>
      <c r="D136" s="13" t="s">
        <v>548</v>
      </c>
      <c r="E136" s="13" t="s">
        <v>20</v>
      </c>
      <c r="F136" s="13" t="s">
        <v>73</v>
      </c>
      <c r="G136" s="13" t="s">
        <v>22</v>
      </c>
      <c r="H136" s="13" t="s">
        <v>549</v>
      </c>
      <c r="I136" s="13" t="s">
        <v>24</v>
      </c>
      <c r="J136" s="13" t="s">
        <v>470</v>
      </c>
      <c r="K136" s="13" t="s">
        <v>26</v>
      </c>
      <c r="L136" s="13" t="s">
        <v>27</v>
      </c>
      <c r="M136" s="14" t="s">
        <v>28</v>
      </c>
      <c r="N136" s="13" t="s">
        <v>550</v>
      </c>
      <c r="O136" s="13" t="s">
        <v>52</v>
      </c>
      <c r="P136" s="13" t="s">
        <v>43</v>
      </c>
      <c r="Q136" s="13">
        <v>19.0</v>
      </c>
    </row>
    <row r="137" ht="22.5" customHeight="1">
      <c r="A137" s="12"/>
      <c r="B137" s="13" t="s">
        <v>533</v>
      </c>
      <c r="C137" s="14" t="s">
        <v>18</v>
      </c>
      <c r="D137" s="13" t="s">
        <v>534</v>
      </c>
      <c r="E137" s="13" t="s">
        <v>189</v>
      </c>
      <c r="F137" s="13" t="s">
        <v>78</v>
      </c>
      <c r="G137" s="13" t="s">
        <v>30</v>
      </c>
      <c r="H137" s="13" t="s">
        <v>535</v>
      </c>
      <c r="I137" s="13" t="s">
        <v>36</v>
      </c>
      <c r="J137" s="13" t="s">
        <v>536</v>
      </c>
      <c r="K137" s="13" t="s">
        <v>67</v>
      </c>
      <c r="L137" s="13" t="s">
        <v>50</v>
      </c>
      <c r="M137" s="14" t="s">
        <v>113</v>
      </c>
      <c r="N137" s="13" t="s">
        <v>537</v>
      </c>
      <c r="O137" s="13" t="s">
        <v>60</v>
      </c>
      <c r="P137" s="13" t="s">
        <v>61</v>
      </c>
      <c r="Q137" s="13">
        <v>20.0</v>
      </c>
    </row>
    <row r="138" ht="22.5" customHeight="1">
      <c r="A138" s="12"/>
      <c r="B138" s="13" t="s">
        <v>557</v>
      </c>
      <c r="C138" s="14" t="s">
        <v>18</v>
      </c>
      <c r="D138" s="13" t="s">
        <v>559</v>
      </c>
      <c r="E138" s="13" t="s">
        <v>560</v>
      </c>
      <c r="F138" s="13" t="s">
        <v>103</v>
      </c>
      <c r="G138" s="13" t="s">
        <v>30</v>
      </c>
      <c r="H138" s="13" t="s">
        <v>561</v>
      </c>
      <c r="I138" s="13" t="s">
        <v>24</v>
      </c>
      <c r="J138" s="13" t="s">
        <v>99</v>
      </c>
      <c r="K138" s="13" t="s">
        <v>26</v>
      </c>
      <c r="L138" s="13" t="s">
        <v>39</v>
      </c>
      <c r="M138" s="14" t="s">
        <v>28</v>
      </c>
      <c r="N138" s="13" t="s">
        <v>319</v>
      </c>
      <c r="O138" s="13" t="s">
        <v>52</v>
      </c>
      <c r="P138" s="13" t="s">
        <v>61</v>
      </c>
      <c r="Q138" s="13">
        <v>19.0</v>
      </c>
    </row>
    <row r="139" ht="22.5" customHeight="1">
      <c r="A139" s="12"/>
      <c r="B139" s="13" t="s">
        <v>566</v>
      </c>
      <c r="C139" s="14" t="s">
        <v>28</v>
      </c>
      <c r="D139" s="13" t="s">
        <v>567</v>
      </c>
      <c r="E139" s="13" t="s">
        <v>377</v>
      </c>
      <c r="F139" s="13" t="s">
        <v>34</v>
      </c>
      <c r="G139" s="13" t="s">
        <v>30</v>
      </c>
      <c r="H139" s="13" t="s">
        <v>569</v>
      </c>
      <c r="I139" s="13" t="s">
        <v>78</v>
      </c>
      <c r="J139" s="13" t="s">
        <v>318</v>
      </c>
      <c r="K139" s="13" t="s">
        <v>38</v>
      </c>
      <c r="L139" s="13" t="s">
        <v>39</v>
      </c>
      <c r="M139" s="14" t="s">
        <v>113</v>
      </c>
      <c r="N139" s="13" t="s">
        <v>537</v>
      </c>
      <c r="O139" s="13" t="s">
        <v>30</v>
      </c>
      <c r="P139" s="13" t="s">
        <v>61</v>
      </c>
      <c r="Q139" s="13">
        <v>19.0</v>
      </c>
    </row>
    <row r="140" ht="22.5" customHeight="1">
      <c r="A140" s="12"/>
      <c r="B140" s="13" t="s">
        <v>570</v>
      </c>
      <c r="C140" s="13" t="s">
        <v>31</v>
      </c>
      <c r="D140" s="13" t="s">
        <v>571</v>
      </c>
      <c r="E140" s="13" t="s">
        <v>64</v>
      </c>
      <c r="F140" s="13" t="s">
        <v>78</v>
      </c>
      <c r="G140" s="13" t="s">
        <v>22</v>
      </c>
      <c r="H140" s="13" t="s">
        <v>572</v>
      </c>
      <c r="I140" s="13" t="s">
        <v>24</v>
      </c>
      <c r="J140" s="13" t="s">
        <v>536</v>
      </c>
      <c r="K140" s="13" t="s">
        <v>26</v>
      </c>
      <c r="L140" s="13" t="s">
        <v>39</v>
      </c>
      <c r="M140" s="14" t="s">
        <v>113</v>
      </c>
      <c r="N140" s="13" t="s">
        <v>573</v>
      </c>
      <c r="O140" s="13" t="s">
        <v>52</v>
      </c>
      <c r="P140" s="13" t="s">
        <v>43</v>
      </c>
      <c r="Q140" s="13">
        <v>19.0</v>
      </c>
    </row>
    <row r="141" ht="22.5" customHeight="1">
      <c r="A141" s="12"/>
      <c r="B141" s="13" t="s">
        <v>574</v>
      </c>
      <c r="C141" s="14" t="s">
        <v>28</v>
      </c>
      <c r="D141" s="13" t="s">
        <v>55</v>
      </c>
      <c r="E141" s="13" t="s">
        <v>575</v>
      </c>
      <c r="F141" s="13" t="s">
        <v>200</v>
      </c>
      <c r="G141" s="13" t="s">
        <v>22</v>
      </c>
      <c r="H141" s="13" t="s">
        <v>576</v>
      </c>
      <c r="I141" s="13" t="s">
        <v>36</v>
      </c>
      <c r="J141" s="13" t="s">
        <v>507</v>
      </c>
      <c r="K141" s="13" t="s">
        <v>26</v>
      </c>
      <c r="L141" s="13" t="s">
        <v>39</v>
      </c>
      <c r="M141" s="14" t="s">
        <v>113</v>
      </c>
      <c r="N141" s="13" t="s">
        <v>118</v>
      </c>
      <c r="O141" s="13" t="s">
        <v>52</v>
      </c>
      <c r="P141" s="13" t="s">
        <v>43</v>
      </c>
      <c r="Q141" s="13">
        <v>18.0</v>
      </c>
    </row>
    <row r="142" ht="22.5" customHeight="1">
      <c r="A142" s="12"/>
      <c r="B142" s="13" t="s">
        <v>577</v>
      </c>
      <c r="C142" s="14" t="s">
        <v>28</v>
      </c>
      <c r="D142" s="13" t="s">
        <v>564</v>
      </c>
      <c r="E142" s="13" t="s">
        <v>578</v>
      </c>
      <c r="F142" s="13" t="s">
        <v>200</v>
      </c>
      <c r="G142" s="13" t="s">
        <v>60</v>
      </c>
      <c r="H142" s="13" t="s">
        <v>579</v>
      </c>
      <c r="I142" s="13" t="s">
        <v>36</v>
      </c>
      <c r="J142" s="13" t="s">
        <v>170</v>
      </c>
      <c r="K142" s="13" t="s">
        <v>26</v>
      </c>
      <c r="L142" s="13" t="s">
        <v>39</v>
      </c>
      <c r="M142" s="14" t="s">
        <v>113</v>
      </c>
      <c r="N142" s="13" t="s">
        <v>580</v>
      </c>
      <c r="O142" s="13" t="s">
        <v>52</v>
      </c>
      <c r="P142" s="13" t="s">
        <v>61</v>
      </c>
      <c r="Q142" s="13">
        <v>19.0</v>
      </c>
    </row>
    <row r="143" ht="22.5" customHeight="1">
      <c r="A143" s="12"/>
      <c r="B143" s="13" t="s">
        <v>581</v>
      </c>
      <c r="C143" s="13" t="s">
        <v>31</v>
      </c>
      <c r="D143" s="13" t="s">
        <v>417</v>
      </c>
      <c r="E143" s="13" t="s">
        <v>377</v>
      </c>
      <c r="F143" s="13" t="s">
        <v>78</v>
      </c>
      <c r="G143" s="13" t="s">
        <v>22</v>
      </c>
      <c r="H143" s="13" t="s">
        <v>510</v>
      </c>
      <c r="I143" s="13" t="s">
        <v>36</v>
      </c>
      <c r="J143" s="13" t="s">
        <v>582</v>
      </c>
      <c r="K143" s="13" t="s">
        <v>67</v>
      </c>
      <c r="L143" s="13" t="s">
        <v>39</v>
      </c>
      <c r="M143" s="14" t="s">
        <v>113</v>
      </c>
      <c r="N143" s="13" t="s">
        <v>583</v>
      </c>
      <c r="O143" s="13" t="s">
        <v>30</v>
      </c>
      <c r="P143" s="13" t="s">
        <v>43</v>
      </c>
      <c r="Q143" s="13">
        <v>19.0</v>
      </c>
    </row>
    <row r="144" ht="22.5" customHeight="1">
      <c r="A144" s="12"/>
      <c r="B144" s="13" t="s">
        <v>584</v>
      </c>
      <c r="C144" s="14" t="s">
        <v>18</v>
      </c>
      <c r="D144" s="13" t="s">
        <v>585</v>
      </c>
      <c r="E144" s="13" t="s">
        <v>411</v>
      </c>
      <c r="F144" s="13" t="s">
        <v>78</v>
      </c>
      <c r="G144" s="13" t="s">
        <v>30</v>
      </c>
      <c r="H144" s="13" t="s">
        <v>586</v>
      </c>
      <c r="I144" s="13" t="s">
        <v>24</v>
      </c>
      <c r="J144" s="13" t="s">
        <v>123</v>
      </c>
      <c r="K144" s="13" t="s">
        <v>26</v>
      </c>
      <c r="L144" s="13" t="s">
        <v>107</v>
      </c>
      <c r="M144" s="14" t="s">
        <v>28</v>
      </c>
      <c r="N144" s="13" t="s">
        <v>587</v>
      </c>
      <c r="O144" s="13" t="s">
        <v>30</v>
      </c>
      <c r="P144" s="13" t="s">
        <v>61</v>
      </c>
      <c r="Q144" s="13">
        <v>19.0</v>
      </c>
    </row>
    <row r="145" ht="22.5" customHeight="1">
      <c r="A145" s="12"/>
      <c r="B145" s="13" t="s">
        <v>588</v>
      </c>
      <c r="C145" s="13" t="s">
        <v>31</v>
      </c>
      <c r="D145" s="13" t="s">
        <v>55</v>
      </c>
      <c r="E145" s="13" t="s">
        <v>589</v>
      </c>
      <c r="F145" s="13" t="s">
        <v>103</v>
      </c>
      <c r="G145" s="13" t="s">
        <v>30</v>
      </c>
      <c r="H145" s="13" t="s">
        <v>544</v>
      </c>
      <c r="I145" s="13" t="s">
        <v>36</v>
      </c>
      <c r="J145" s="13" t="s">
        <v>590</v>
      </c>
      <c r="K145" s="13" t="s">
        <v>26</v>
      </c>
      <c r="L145" s="13" t="s">
        <v>27</v>
      </c>
      <c r="M145" s="13">
        <v>0.0</v>
      </c>
      <c r="N145" s="13" t="s">
        <v>591</v>
      </c>
      <c r="O145" s="13" t="s">
        <v>30</v>
      </c>
      <c r="P145" s="13" t="s">
        <v>43</v>
      </c>
      <c r="Q145" s="13">
        <v>20.0</v>
      </c>
    </row>
    <row r="146" ht="22.5" customHeight="1">
      <c r="A146" s="12"/>
      <c r="B146" s="13" t="s">
        <v>592</v>
      </c>
      <c r="C146" s="13" t="s">
        <v>31</v>
      </c>
      <c r="D146" s="13" t="s">
        <v>135</v>
      </c>
      <c r="E146" s="13" t="s">
        <v>411</v>
      </c>
      <c r="F146" s="13" t="s">
        <v>34</v>
      </c>
      <c r="G146" s="13" t="s">
        <v>22</v>
      </c>
      <c r="H146" s="13" t="s">
        <v>593</v>
      </c>
      <c r="I146" s="13" t="s">
        <v>24</v>
      </c>
      <c r="J146" s="13" t="s">
        <v>25</v>
      </c>
      <c r="K146" s="13" t="s">
        <v>26</v>
      </c>
      <c r="L146" s="13" t="s">
        <v>27</v>
      </c>
      <c r="M146" s="14" t="s">
        <v>28</v>
      </c>
      <c r="N146" s="13" t="s">
        <v>594</v>
      </c>
      <c r="O146" s="13" t="s">
        <v>52</v>
      </c>
      <c r="P146" s="13" t="s">
        <v>43</v>
      </c>
      <c r="Q146" s="13">
        <v>20.0</v>
      </c>
    </row>
    <row r="147" ht="22.5" customHeight="1">
      <c r="A147" s="12"/>
      <c r="B147" s="13" t="s">
        <v>595</v>
      </c>
      <c r="C147" s="14" t="s">
        <v>28</v>
      </c>
      <c r="D147" s="13" t="s">
        <v>596</v>
      </c>
      <c r="E147" s="13" t="s">
        <v>377</v>
      </c>
      <c r="F147" s="13" t="s">
        <v>103</v>
      </c>
      <c r="G147" s="13" t="s">
        <v>22</v>
      </c>
      <c r="H147" s="13" t="s">
        <v>510</v>
      </c>
      <c r="I147" s="13" t="s">
        <v>36</v>
      </c>
      <c r="J147" s="13" t="s">
        <v>123</v>
      </c>
      <c r="K147" s="13" t="s">
        <v>26</v>
      </c>
      <c r="L147" s="13" t="s">
        <v>39</v>
      </c>
      <c r="M147" s="14" t="s">
        <v>113</v>
      </c>
      <c r="N147" s="13" t="s">
        <v>597</v>
      </c>
      <c r="O147" s="13" t="s">
        <v>42</v>
      </c>
      <c r="P147" s="13" t="s">
        <v>397</v>
      </c>
      <c r="Q147" s="13">
        <v>18.0</v>
      </c>
    </row>
    <row r="148" ht="22.5" customHeight="1">
      <c r="A148" s="12"/>
      <c r="B148" s="13" t="s">
        <v>598</v>
      </c>
      <c r="C148" s="14" t="s">
        <v>28</v>
      </c>
      <c r="D148" s="13" t="s">
        <v>599</v>
      </c>
      <c r="E148" s="13" t="s">
        <v>218</v>
      </c>
      <c r="F148" s="13" t="s">
        <v>73</v>
      </c>
      <c r="G148" s="13" t="s">
        <v>22</v>
      </c>
      <c r="H148" s="13" t="s">
        <v>600</v>
      </c>
      <c r="I148" s="13" t="s">
        <v>24</v>
      </c>
      <c r="J148" s="13" t="s">
        <v>279</v>
      </c>
      <c r="K148" s="13" t="s">
        <v>26</v>
      </c>
      <c r="L148" s="13" t="s">
        <v>107</v>
      </c>
      <c r="M148" s="14" t="s">
        <v>113</v>
      </c>
      <c r="N148" s="13" t="s">
        <v>601</v>
      </c>
      <c r="O148" s="13" t="s">
        <v>30</v>
      </c>
      <c r="P148" s="13" t="s">
        <v>43</v>
      </c>
      <c r="Q148" s="13">
        <v>19.0</v>
      </c>
    </row>
    <row r="149" ht="22.5" customHeight="1">
      <c r="A149" s="12"/>
      <c r="B149" s="13" t="s">
        <v>602</v>
      </c>
      <c r="C149" s="14" t="s">
        <v>28</v>
      </c>
      <c r="D149" s="13" t="s">
        <v>603</v>
      </c>
      <c r="E149" s="13" t="s">
        <v>411</v>
      </c>
      <c r="F149" s="13" t="s">
        <v>78</v>
      </c>
      <c r="G149" s="13" t="s">
        <v>22</v>
      </c>
      <c r="H149" s="13" t="s">
        <v>604</v>
      </c>
      <c r="I149" s="13" t="s">
        <v>24</v>
      </c>
      <c r="J149" s="13" t="s">
        <v>605</v>
      </c>
      <c r="K149" s="13" t="s">
        <v>26</v>
      </c>
      <c r="L149" s="13" t="s">
        <v>27</v>
      </c>
      <c r="M149" s="13" t="s">
        <v>40</v>
      </c>
      <c r="N149" s="13" t="s">
        <v>606</v>
      </c>
      <c r="O149" s="13" t="s">
        <v>52</v>
      </c>
      <c r="P149" s="13" t="s">
        <v>43</v>
      </c>
      <c r="Q149" s="13">
        <v>20.0</v>
      </c>
    </row>
    <row r="150" ht="22.5" customHeight="1">
      <c r="A150" s="12"/>
      <c r="B150" s="13" t="s">
        <v>607</v>
      </c>
      <c r="C150" s="13" t="s">
        <v>31</v>
      </c>
      <c r="D150" s="13" t="s">
        <v>151</v>
      </c>
      <c r="E150" s="13" t="s">
        <v>377</v>
      </c>
      <c r="F150" s="13" t="s">
        <v>200</v>
      </c>
      <c r="G150" s="13" t="s">
        <v>60</v>
      </c>
      <c r="H150" s="13" t="s">
        <v>540</v>
      </c>
      <c r="I150" s="13" t="s">
        <v>122</v>
      </c>
      <c r="J150" s="13" t="s">
        <v>106</v>
      </c>
      <c r="K150" s="13" t="s">
        <v>38</v>
      </c>
      <c r="L150" s="13" t="s">
        <v>39</v>
      </c>
      <c r="M150" s="14" t="s">
        <v>113</v>
      </c>
      <c r="N150" s="13" t="s">
        <v>537</v>
      </c>
      <c r="O150" s="13" t="s">
        <v>30</v>
      </c>
      <c r="P150" s="13" t="s">
        <v>61</v>
      </c>
      <c r="Q150" s="13">
        <v>19.0</v>
      </c>
    </row>
    <row r="151" ht="22.5" customHeight="1">
      <c r="A151" s="12"/>
      <c r="B151" s="13" t="s">
        <v>608</v>
      </c>
      <c r="C151" s="13" t="s">
        <v>31</v>
      </c>
      <c r="D151" s="13" t="s">
        <v>609</v>
      </c>
      <c r="E151" s="13" t="s">
        <v>589</v>
      </c>
      <c r="F151" s="13" t="s">
        <v>73</v>
      </c>
      <c r="G151" s="13" t="s">
        <v>22</v>
      </c>
      <c r="H151" s="13" t="s">
        <v>610</v>
      </c>
      <c r="I151" s="13" t="s">
        <v>24</v>
      </c>
      <c r="J151" s="13" t="s">
        <v>106</v>
      </c>
      <c r="K151" s="13" t="s">
        <v>26</v>
      </c>
      <c r="L151" s="13" t="s">
        <v>27</v>
      </c>
      <c r="M151" s="14" t="s">
        <v>28</v>
      </c>
      <c r="N151" s="13" t="s">
        <v>611</v>
      </c>
      <c r="O151" s="13" t="s">
        <v>52</v>
      </c>
      <c r="P151" s="13" t="s">
        <v>61</v>
      </c>
      <c r="Q151" s="13">
        <v>21.0</v>
      </c>
    </row>
    <row r="152" ht="22.5" customHeight="1">
      <c r="A152" s="12"/>
      <c r="B152" s="13" t="s">
        <v>612</v>
      </c>
      <c r="C152" s="13" t="s">
        <v>54</v>
      </c>
      <c r="D152" s="13" t="s">
        <v>613</v>
      </c>
      <c r="E152" s="13" t="s">
        <v>614</v>
      </c>
      <c r="F152" s="13" t="s">
        <v>200</v>
      </c>
      <c r="G152" s="13" t="s">
        <v>60</v>
      </c>
      <c r="H152" s="13" t="s">
        <v>615</v>
      </c>
      <c r="I152" s="13" t="s">
        <v>36</v>
      </c>
      <c r="J152" s="13" t="s">
        <v>106</v>
      </c>
      <c r="K152" s="13" t="s">
        <v>26</v>
      </c>
      <c r="L152" s="13" t="s">
        <v>107</v>
      </c>
      <c r="M152" s="14" t="s">
        <v>113</v>
      </c>
      <c r="N152" s="13" t="s">
        <v>616</v>
      </c>
      <c r="O152" s="13" t="s">
        <v>52</v>
      </c>
      <c r="P152" s="13" t="s">
        <v>61</v>
      </c>
      <c r="Q152" s="13">
        <v>21.0</v>
      </c>
    </row>
    <row r="153" ht="22.5" customHeight="1">
      <c r="A153" s="12"/>
      <c r="B153" s="13" t="s">
        <v>617</v>
      </c>
      <c r="C153" s="14" t="s">
        <v>28</v>
      </c>
      <c r="D153" s="13" t="s">
        <v>282</v>
      </c>
      <c r="E153" s="13" t="s">
        <v>618</v>
      </c>
      <c r="F153" s="13" t="s">
        <v>78</v>
      </c>
      <c r="G153" s="13" t="s">
        <v>22</v>
      </c>
      <c r="H153" s="13" t="s">
        <v>619</v>
      </c>
      <c r="I153" s="13" t="s">
        <v>24</v>
      </c>
      <c r="J153" s="13" t="s">
        <v>396</v>
      </c>
      <c r="K153" s="13" t="s">
        <v>67</v>
      </c>
      <c r="L153" s="13" t="s">
        <v>39</v>
      </c>
      <c r="M153" s="14" t="s">
        <v>113</v>
      </c>
      <c r="N153" s="13" t="s">
        <v>620</v>
      </c>
      <c r="O153" s="13" t="s">
        <v>52</v>
      </c>
      <c r="P153" s="13" t="s">
        <v>43</v>
      </c>
      <c r="Q153" s="13">
        <v>20.0</v>
      </c>
    </row>
    <row r="154" ht="22.5" customHeight="1">
      <c r="A154" s="12"/>
      <c r="B154" s="13" t="s">
        <v>538</v>
      </c>
      <c r="C154" s="13" t="s">
        <v>31</v>
      </c>
      <c r="D154" s="13" t="s">
        <v>55</v>
      </c>
      <c r="E154" s="13" t="s">
        <v>539</v>
      </c>
      <c r="F154" s="13" t="s">
        <v>21</v>
      </c>
      <c r="G154" s="13" t="s">
        <v>30</v>
      </c>
      <c r="H154" s="13" t="s">
        <v>540</v>
      </c>
      <c r="I154" s="13" t="s">
        <v>122</v>
      </c>
      <c r="J154" s="13" t="s">
        <v>541</v>
      </c>
      <c r="K154" s="13" t="s">
        <v>38</v>
      </c>
      <c r="L154" s="13" t="s">
        <v>50</v>
      </c>
      <c r="M154" s="14" t="s">
        <v>113</v>
      </c>
      <c r="N154" s="13" t="s">
        <v>165</v>
      </c>
      <c r="O154" s="13" t="s">
        <v>42</v>
      </c>
      <c r="P154" s="13" t="s">
        <v>43</v>
      </c>
      <c r="Q154" s="13">
        <v>19.0</v>
      </c>
    </row>
    <row r="155" ht="22.5" customHeight="1">
      <c r="A155" s="12"/>
      <c r="B155" s="13" t="s">
        <v>621</v>
      </c>
      <c r="C155" s="13" t="s">
        <v>31</v>
      </c>
      <c r="D155" s="13" t="s">
        <v>622</v>
      </c>
      <c r="E155" s="13" t="s">
        <v>623</v>
      </c>
      <c r="F155" s="13" t="s">
        <v>34</v>
      </c>
      <c r="G155" s="13" t="s">
        <v>60</v>
      </c>
      <c r="H155" s="13" t="s">
        <v>624</v>
      </c>
      <c r="I155" s="13" t="s">
        <v>24</v>
      </c>
      <c r="J155" s="13" t="s">
        <v>247</v>
      </c>
      <c r="K155" s="13" t="s">
        <v>67</v>
      </c>
      <c r="L155" s="13" t="s">
        <v>27</v>
      </c>
      <c r="M155" s="13">
        <v>0.0</v>
      </c>
      <c r="N155" s="13" t="s">
        <v>212</v>
      </c>
      <c r="O155" s="13" t="s">
        <v>30</v>
      </c>
      <c r="P155" s="13" t="s">
        <v>43</v>
      </c>
      <c r="Q155" s="13">
        <v>24.0</v>
      </c>
    </row>
    <row r="156" ht="22.5" customHeight="1">
      <c r="A156" s="12"/>
      <c r="B156" s="13" t="s">
        <v>253</v>
      </c>
      <c r="C156" s="14" t="s">
        <v>28</v>
      </c>
      <c r="D156" s="13" t="s">
        <v>55</v>
      </c>
      <c r="E156" s="13" t="s">
        <v>589</v>
      </c>
      <c r="F156" s="13" t="s">
        <v>78</v>
      </c>
      <c r="G156" s="13" t="s">
        <v>30</v>
      </c>
      <c r="H156" s="13" t="s">
        <v>625</v>
      </c>
      <c r="I156" s="13" t="s">
        <v>36</v>
      </c>
      <c r="J156" s="13" t="s">
        <v>626</v>
      </c>
      <c r="K156" s="13" t="s">
        <v>38</v>
      </c>
      <c r="L156" s="13" t="s">
        <v>39</v>
      </c>
      <c r="M156" s="14" t="s">
        <v>113</v>
      </c>
      <c r="N156" s="13" t="s">
        <v>68</v>
      </c>
      <c r="O156" s="13" t="s">
        <v>60</v>
      </c>
      <c r="P156" s="13" t="s">
        <v>43</v>
      </c>
      <c r="Q156" s="13">
        <v>20.0</v>
      </c>
    </row>
    <row r="157" ht="22.5" customHeight="1">
      <c r="A157" s="12"/>
      <c r="B157" s="13" t="s">
        <v>627</v>
      </c>
      <c r="C157" s="14" t="s">
        <v>28</v>
      </c>
      <c r="D157" s="13" t="s">
        <v>282</v>
      </c>
      <c r="E157" s="13" t="s">
        <v>589</v>
      </c>
      <c r="F157" s="13" t="s">
        <v>103</v>
      </c>
      <c r="G157" s="13" t="s">
        <v>48</v>
      </c>
      <c r="H157" s="13" t="s">
        <v>409</v>
      </c>
      <c r="I157" s="13" t="s">
        <v>122</v>
      </c>
      <c r="J157" s="13" t="s">
        <v>170</v>
      </c>
      <c r="K157" s="13" t="s">
        <v>58</v>
      </c>
      <c r="L157" s="13" t="s">
        <v>107</v>
      </c>
      <c r="M157" s="14" t="s">
        <v>28</v>
      </c>
      <c r="N157" s="13" t="s">
        <v>497</v>
      </c>
      <c r="O157" s="13" t="s">
        <v>60</v>
      </c>
      <c r="P157" s="13" t="s">
        <v>43</v>
      </c>
      <c r="Q157" s="13">
        <v>17.0</v>
      </c>
    </row>
    <row r="158" ht="22.5" customHeight="1">
      <c r="A158" s="12"/>
      <c r="B158" s="13" t="s">
        <v>628</v>
      </c>
      <c r="C158" s="14" t="s">
        <v>28</v>
      </c>
      <c r="D158" s="13" t="s">
        <v>102</v>
      </c>
      <c r="E158" s="13" t="s">
        <v>162</v>
      </c>
      <c r="F158" s="13" t="s">
        <v>78</v>
      </c>
      <c r="G158" s="13" t="s">
        <v>30</v>
      </c>
      <c r="H158" s="13" t="s">
        <v>629</v>
      </c>
      <c r="I158" s="13" t="s">
        <v>78</v>
      </c>
      <c r="J158" s="13" t="s">
        <v>106</v>
      </c>
      <c r="K158" s="13" t="s">
        <v>38</v>
      </c>
      <c r="L158" s="13" t="s">
        <v>39</v>
      </c>
      <c r="M158" s="14" t="s">
        <v>113</v>
      </c>
      <c r="N158" s="13" t="s">
        <v>630</v>
      </c>
      <c r="O158" s="13" t="s">
        <v>30</v>
      </c>
      <c r="P158" s="13" t="s">
        <v>43</v>
      </c>
      <c r="Q158" s="13">
        <v>21.0</v>
      </c>
    </row>
    <row r="159" ht="22.5" customHeight="1">
      <c r="A159" s="12"/>
      <c r="B159" s="13" t="s">
        <v>631</v>
      </c>
      <c r="C159" s="14" t="s">
        <v>18</v>
      </c>
      <c r="D159" s="13" t="s">
        <v>211</v>
      </c>
      <c r="E159" s="13" t="s">
        <v>162</v>
      </c>
      <c r="F159" s="13" t="s">
        <v>21</v>
      </c>
      <c r="G159" s="13" t="s">
        <v>60</v>
      </c>
      <c r="H159" s="13" t="s">
        <v>632</v>
      </c>
      <c r="I159" s="13" t="s">
        <v>24</v>
      </c>
      <c r="J159" s="13" t="s">
        <v>318</v>
      </c>
      <c r="K159" s="13" t="s">
        <v>58</v>
      </c>
      <c r="L159" s="13" t="s">
        <v>50</v>
      </c>
      <c r="M159" s="14" t="s">
        <v>113</v>
      </c>
      <c r="N159" s="13" t="s">
        <v>633</v>
      </c>
      <c r="O159" s="13" t="s">
        <v>30</v>
      </c>
      <c r="P159" s="13" t="s">
        <v>61</v>
      </c>
      <c r="Q159" s="13">
        <v>18.0</v>
      </c>
    </row>
    <row r="160" ht="22.5" customHeight="1">
      <c r="A160" s="12"/>
      <c r="B160" s="13" t="s">
        <v>634</v>
      </c>
      <c r="C160" s="13" t="s">
        <v>31</v>
      </c>
      <c r="D160" s="13" t="s">
        <v>635</v>
      </c>
      <c r="E160" s="13" t="s">
        <v>377</v>
      </c>
      <c r="F160" s="13" t="s">
        <v>34</v>
      </c>
      <c r="G160" s="13" t="s">
        <v>30</v>
      </c>
      <c r="H160" s="13" t="s">
        <v>636</v>
      </c>
      <c r="I160" s="13" t="s">
        <v>36</v>
      </c>
      <c r="J160" s="13" t="s">
        <v>626</v>
      </c>
      <c r="K160" s="13" t="s">
        <v>67</v>
      </c>
      <c r="L160" s="13" t="s">
        <v>27</v>
      </c>
      <c r="M160" s="14" t="s">
        <v>113</v>
      </c>
      <c r="N160" s="13" t="s">
        <v>223</v>
      </c>
      <c r="O160" s="13" t="s">
        <v>30</v>
      </c>
      <c r="P160" s="13" t="s">
        <v>43</v>
      </c>
      <c r="Q160" s="13">
        <v>19.0</v>
      </c>
    </row>
    <row r="161" ht="22.5" customHeight="1">
      <c r="A161" s="12"/>
      <c r="B161" s="13" t="s">
        <v>637</v>
      </c>
      <c r="C161" s="14" t="s">
        <v>18</v>
      </c>
      <c r="D161" s="13" t="s">
        <v>638</v>
      </c>
      <c r="E161" s="13" t="s">
        <v>589</v>
      </c>
      <c r="F161" s="13" t="s">
        <v>34</v>
      </c>
      <c r="G161" s="13" t="s">
        <v>22</v>
      </c>
      <c r="H161" s="13" t="s">
        <v>639</v>
      </c>
      <c r="I161" s="13" t="s">
        <v>24</v>
      </c>
      <c r="J161" s="13" t="s">
        <v>640</v>
      </c>
      <c r="K161" s="13" t="s">
        <v>38</v>
      </c>
      <c r="L161" s="13" t="s">
        <v>107</v>
      </c>
      <c r="M161" s="13" t="s">
        <v>40</v>
      </c>
      <c r="N161" s="13" t="s">
        <v>108</v>
      </c>
      <c r="O161" s="13" t="s">
        <v>60</v>
      </c>
      <c r="P161" s="13" t="s">
        <v>61</v>
      </c>
      <c r="Q161" s="13">
        <v>20.0</v>
      </c>
    </row>
    <row r="162" ht="22.5" customHeight="1">
      <c r="A162" s="12"/>
      <c r="B162" s="13" t="s">
        <v>641</v>
      </c>
      <c r="C162" s="14" t="s">
        <v>18</v>
      </c>
      <c r="D162" s="13" t="s">
        <v>642</v>
      </c>
      <c r="E162" s="13" t="s">
        <v>346</v>
      </c>
      <c r="F162" s="13" t="s">
        <v>34</v>
      </c>
      <c r="G162" s="13" t="s">
        <v>22</v>
      </c>
      <c r="H162" s="13" t="s">
        <v>643</v>
      </c>
      <c r="I162" s="13" t="s">
        <v>36</v>
      </c>
      <c r="J162" s="13" t="s">
        <v>66</v>
      </c>
      <c r="K162" s="13" t="s">
        <v>67</v>
      </c>
      <c r="L162" s="13" t="s">
        <v>50</v>
      </c>
      <c r="M162" s="14" t="s">
        <v>28</v>
      </c>
      <c r="N162" s="13" t="s">
        <v>138</v>
      </c>
      <c r="O162" s="13" t="s">
        <v>52</v>
      </c>
      <c r="P162" s="13" t="s">
        <v>43</v>
      </c>
      <c r="Q162" s="13">
        <v>20.0</v>
      </c>
    </row>
    <row r="163" ht="22.5" customHeight="1">
      <c r="A163" s="12"/>
      <c r="B163" s="13" t="s">
        <v>644</v>
      </c>
      <c r="C163" s="13" t="s">
        <v>31</v>
      </c>
      <c r="D163" s="13" t="s">
        <v>638</v>
      </c>
      <c r="E163" s="13" t="s">
        <v>33</v>
      </c>
      <c r="F163" s="13" t="s">
        <v>34</v>
      </c>
      <c r="G163" s="13" t="s">
        <v>60</v>
      </c>
      <c r="H163" s="13" t="s">
        <v>219</v>
      </c>
      <c r="I163" s="13" t="s">
        <v>24</v>
      </c>
      <c r="J163" s="13" t="s">
        <v>470</v>
      </c>
      <c r="K163" s="13" t="s">
        <v>26</v>
      </c>
      <c r="L163" s="13" t="s">
        <v>50</v>
      </c>
      <c r="M163" s="14" t="s">
        <v>113</v>
      </c>
      <c r="N163" s="13" t="s">
        <v>262</v>
      </c>
      <c r="O163" s="13" t="s">
        <v>60</v>
      </c>
      <c r="P163" s="13" t="s">
        <v>61</v>
      </c>
      <c r="Q163" s="13">
        <v>20.0</v>
      </c>
    </row>
    <row r="164" ht="22.5" customHeight="1">
      <c r="A164" s="12"/>
      <c r="B164" s="13" t="s">
        <v>546</v>
      </c>
      <c r="C164" s="13" t="s">
        <v>31</v>
      </c>
      <c r="D164" s="13" t="s">
        <v>151</v>
      </c>
      <c r="E164" s="13" t="s">
        <v>33</v>
      </c>
      <c r="F164" s="13" t="s">
        <v>103</v>
      </c>
      <c r="G164" s="13" t="s">
        <v>30</v>
      </c>
      <c r="H164" s="13" t="s">
        <v>203</v>
      </c>
      <c r="I164" s="13" t="s">
        <v>36</v>
      </c>
      <c r="J164" s="13" t="s">
        <v>37</v>
      </c>
      <c r="K164" s="13" t="s">
        <v>67</v>
      </c>
      <c r="L164" s="13" t="s">
        <v>50</v>
      </c>
      <c r="M164" s="14" t="s">
        <v>113</v>
      </c>
      <c r="N164" s="13" t="s">
        <v>308</v>
      </c>
      <c r="O164" s="13" t="s">
        <v>30</v>
      </c>
      <c r="P164" s="13" t="s">
        <v>43</v>
      </c>
      <c r="Q164" s="13">
        <v>18.0</v>
      </c>
    </row>
    <row r="165" ht="22.5" customHeight="1">
      <c r="A165" s="12"/>
      <c r="B165" s="13" t="s">
        <v>645</v>
      </c>
      <c r="C165" s="14" t="s">
        <v>28</v>
      </c>
      <c r="D165" s="13" t="s">
        <v>646</v>
      </c>
      <c r="E165" s="13" t="s">
        <v>578</v>
      </c>
      <c r="F165" s="13" t="s">
        <v>34</v>
      </c>
      <c r="G165" s="13" t="s">
        <v>22</v>
      </c>
      <c r="H165" s="13" t="s">
        <v>647</v>
      </c>
      <c r="I165" s="13" t="s">
        <v>36</v>
      </c>
      <c r="J165" s="13" t="s">
        <v>374</v>
      </c>
      <c r="K165" s="13" t="s">
        <v>58</v>
      </c>
      <c r="L165" s="13" t="s">
        <v>39</v>
      </c>
      <c r="M165" s="14" t="s">
        <v>113</v>
      </c>
      <c r="N165" s="13" t="s">
        <v>266</v>
      </c>
      <c r="O165" s="13" t="s">
        <v>52</v>
      </c>
      <c r="P165" s="13" t="s">
        <v>61</v>
      </c>
      <c r="Q165" s="13">
        <v>18.0</v>
      </c>
    </row>
    <row r="166" ht="22.5" customHeight="1">
      <c r="A166" s="12"/>
      <c r="B166" s="13" t="s">
        <v>648</v>
      </c>
      <c r="C166" s="14" t="s">
        <v>28</v>
      </c>
      <c r="D166" s="13" t="s">
        <v>649</v>
      </c>
      <c r="E166" s="13" t="s">
        <v>33</v>
      </c>
      <c r="F166" s="13" t="s">
        <v>73</v>
      </c>
      <c r="G166" s="13" t="s">
        <v>22</v>
      </c>
      <c r="H166" s="13" t="s">
        <v>169</v>
      </c>
      <c r="I166" s="13" t="s">
        <v>36</v>
      </c>
      <c r="J166" s="13" t="s">
        <v>506</v>
      </c>
      <c r="K166" s="13" t="s">
        <v>67</v>
      </c>
      <c r="L166" s="13" t="s">
        <v>50</v>
      </c>
      <c r="M166" s="14" t="s">
        <v>113</v>
      </c>
      <c r="N166" s="13" t="s">
        <v>383</v>
      </c>
      <c r="O166" s="13" t="s">
        <v>52</v>
      </c>
      <c r="P166" s="13" t="s">
        <v>61</v>
      </c>
      <c r="Q166" s="13">
        <v>21.0</v>
      </c>
    </row>
    <row r="167" ht="22.5" customHeight="1">
      <c r="A167" s="12"/>
      <c r="B167" s="13" t="s">
        <v>650</v>
      </c>
      <c r="C167" s="14" t="s">
        <v>28</v>
      </c>
      <c r="D167" s="13" t="s">
        <v>596</v>
      </c>
      <c r="E167" s="13" t="s">
        <v>33</v>
      </c>
      <c r="F167" s="13" t="s">
        <v>103</v>
      </c>
      <c r="G167" s="13" t="s">
        <v>30</v>
      </c>
      <c r="H167" s="13" t="s">
        <v>579</v>
      </c>
      <c r="I167" s="13" t="s">
        <v>24</v>
      </c>
      <c r="J167" s="13" t="s">
        <v>590</v>
      </c>
      <c r="K167" s="13" t="s">
        <v>58</v>
      </c>
      <c r="L167" s="13" t="s">
        <v>39</v>
      </c>
      <c r="M167" s="14" t="s">
        <v>28</v>
      </c>
      <c r="N167" s="13" t="s">
        <v>359</v>
      </c>
      <c r="O167" s="13" t="s">
        <v>30</v>
      </c>
      <c r="P167" s="13" t="s">
        <v>43</v>
      </c>
      <c r="Q167" s="13">
        <v>18.0</v>
      </c>
    </row>
    <row r="168" ht="22.5" customHeight="1">
      <c r="A168" s="12"/>
      <c r="B168" s="13" t="s">
        <v>651</v>
      </c>
      <c r="C168" s="14" t="s">
        <v>18</v>
      </c>
      <c r="D168" s="13" t="s">
        <v>345</v>
      </c>
      <c r="E168" s="13" t="s">
        <v>543</v>
      </c>
      <c r="F168" s="13" t="s">
        <v>103</v>
      </c>
      <c r="G168" s="13" t="s">
        <v>48</v>
      </c>
      <c r="H168" s="13" t="s">
        <v>652</v>
      </c>
      <c r="I168" s="13" t="s">
        <v>24</v>
      </c>
      <c r="J168" s="13" t="s">
        <v>66</v>
      </c>
      <c r="K168" s="13" t="s">
        <v>26</v>
      </c>
      <c r="L168" s="13" t="s">
        <v>27</v>
      </c>
      <c r="M168" s="14" t="s">
        <v>113</v>
      </c>
      <c r="N168" s="13" t="s">
        <v>653</v>
      </c>
      <c r="O168" s="13" t="s">
        <v>60</v>
      </c>
      <c r="P168" s="13" t="s">
        <v>61</v>
      </c>
      <c r="Q168" s="13">
        <v>18.0</v>
      </c>
    </row>
    <row r="169" ht="22.5" customHeight="1">
      <c r="A169" s="12"/>
      <c r="B169" s="13" t="s">
        <v>654</v>
      </c>
      <c r="C169" s="14" t="s">
        <v>18</v>
      </c>
      <c r="D169" s="13" t="s">
        <v>655</v>
      </c>
      <c r="E169" s="13" t="s">
        <v>656</v>
      </c>
      <c r="F169" s="13" t="s">
        <v>200</v>
      </c>
      <c r="G169" s="13" t="s">
        <v>30</v>
      </c>
      <c r="H169" s="13" t="s">
        <v>466</v>
      </c>
      <c r="I169" s="13" t="s">
        <v>24</v>
      </c>
      <c r="J169" s="13" t="s">
        <v>66</v>
      </c>
      <c r="K169" s="13" t="s">
        <v>26</v>
      </c>
      <c r="L169" s="13" t="s">
        <v>39</v>
      </c>
      <c r="M169" s="14" t="s">
        <v>113</v>
      </c>
      <c r="N169" s="13" t="s">
        <v>657</v>
      </c>
      <c r="O169" s="13" t="s">
        <v>52</v>
      </c>
      <c r="P169" s="13" t="s">
        <v>61</v>
      </c>
      <c r="Q169" s="13">
        <v>18.0</v>
      </c>
    </row>
    <row r="170" ht="22.5" customHeight="1">
      <c r="A170" s="12"/>
      <c r="B170" s="13" t="s">
        <v>658</v>
      </c>
      <c r="C170" s="14" t="s">
        <v>18</v>
      </c>
      <c r="D170" s="13" t="s">
        <v>659</v>
      </c>
      <c r="E170" s="13" t="s">
        <v>660</v>
      </c>
      <c r="F170" s="13" t="s">
        <v>78</v>
      </c>
      <c r="G170" s="13" t="s">
        <v>60</v>
      </c>
      <c r="H170" s="13" t="s">
        <v>57</v>
      </c>
      <c r="I170" s="13" t="s">
        <v>36</v>
      </c>
      <c r="J170" s="13" t="s">
        <v>328</v>
      </c>
      <c r="K170" s="13" t="s">
        <v>67</v>
      </c>
      <c r="L170" s="13" t="s">
        <v>27</v>
      </c>
      <c r="M170" s="14" t="s">
        <v>28</v>
      </c>
      <c r="N170" s="13" t="s">
        <v>142</v>
      </c>
      <c r="O170" s="13" t="s">
        <v>30</v>
      </c>
      <c r="P170" s="13" t="s">
        <v>61</v>
      </c>
      <c r="Q170" s="13">
        <v>19.0</v>
      </c>
    </row>
    <row r="171" ht="22.5" customHeight="1">
      <c r="A171" s="12"/>
      <c r="B171" s="13" t="s">
        <v>661</v>
      </c>
      <c r="C171" s="14" t="s">
        <v>28</v>
      </c>
      <c r="D171" s="13" t="s">
        <v>310</v>
      </c>
      <c r="E171" s="13" t="s">
        <v>33</v>
      </c>
      <c r="F171" s="13" t="s">
        <v>78</v>
      </c>
      <c r="G171" s="13" t="s">
        <v>30</v>
      </c>
      <c r="H171" s="13" t="s">
        <v>662</v>
      </c>
      <c r="I171" s="13" t="s">
        <v>78</v>
      </c>
      <c r="J171" s="13" t="s">
        <v>470</v>
      </c>
      <c r="K171" s="13" t="s">
        <v>26</v>
      </c>
      <c r="L171" s="13" t="s">
        <v>27</v>
      </c>
      <c r="M171" s="14" t="s">
        <v>113</v>
      </c>
      <c r="N171" s="13" t="s">
        <v>133</v>
      </c>
      <c r="O171" s="13" t="s">
        <v>30</v>
      </c>
      <c r="P171" s="13" t="s">
        <v>61</v>
      </c>
      <c r="Q171" s="13">
        <v>19.0</v>
      </c>
    </row>
    <row r="172" ht="22.5" customHeight="1">
      <c r="A172" s="12"/>
      <c r="B172" s="13" t="s">
        <v>663</v>
      </c>
      <c r="C172" s="14" t="s">
        <v>18</v>
      </c>
      <c r="D172" s="13" t="s">
        <v>664</v>
      </c>
      <c r="E172" s="13" t="s">
        <v>346</v>
      </c>
      <c r="F172" s="13" t="s">
        <v>21</v>
      </c>
      <c r="G172" s="13" t="s">
        <v>48</v>
      </c>
      <c r="H172" s="13" t="s">
        <v>665</v>
      </c>
      <c r="I172" s="13" t="s">
        <v>36</v>
      </c>
      <c r="J172" s="13" t="s">
        <v>666</v>
      </c>
      <c r="K172" s="13" t="s">
        <v>38</v>
      </c>
      <c r="L172" s="13" t="s">
        <v>39</v>
      </c>
      <c r="M172" s="14" t="s">
        <v>28</v>
      </c>
      <c r="N172" s="13" t="s">
        <v>667</v>
      </c>
      <c r="O172" s="13" t="s">
        <v>30</v>
      </c>
      <c r="P172" s="13" t="s">
        <v>61</v>
      </c>
      <c r="Q172" s="13">
        <v>19.0</v>
      </c>
    </row>
    <row r="173" ht="22.5" customHeight="1">
      <c r="A173" s="12"/>
      <c r="B173" s="13" t="s">
        <v>668</v>
      </c>
      <c r="C173" s="14" t="s">
        <v>28</v>
      </c>
      <c r="D173" s="13" t="s">
        <v>669</v>
      </c>
      <c r="E173" s="13" t="s">
        <v>670</v>
      </c>
      <c r="F173" s="13" t="s">
        <v>34</v>
      </c>
      <c r="G173" s="13" t="s">
        <v>48</v>
      </c>
      <c r="H173" s="13" t="s">
        <v>671</v>
      </c>
      <c r="I173" s="13" t="s">
        <v>36</v>
      </c>
      <c r="J173" s="13" t="s">
        <v>204</v>
      </c>
      <c r="K173" s="13" t="s">
        <v>26</v>
      </c>
      <c r="L173" s="13" t="s">
        <v>39</v>
      </c>
      <c r="M173" s="14" t="s">
        <v>113</v>
      </c>
      <c r="N173" s="13" t="s">
        <v>672</v>
      </c>
      <c r="O173" s="13" t="s">
        <v>30</v>
      </c>
      <c r="P173" s="13" t="s">
        <v>61</v>
      </c>
      <c r="Q173" s="13">
        <v>19.0</v>
      </c>
    </row>
    <row r="174" ht="22.5" customHeight="1">
      <c r="A174" s="12"/>
      <c r="B174" s="13" t="s">
        <v>673</v>
      </c>
      <c r="C174" s="14" t="s">
        <v>18</v>
      </c>
      <c r="D174" s="13" t="s">
        <v>674</v>
      </c>
      <c r="E174" s="13" t="s">
        <v>33</v>
      </c>
      <c r="F174" s="13" t="s">
        <v>78</v>
      </c>
      <c r="G174" s="13" t="s">
        <v>60</v>
      </c>
      <c r="H174" s="13" t="s">
        <v>505</v>
      </c>
      <c r="I174" s="13" t="s">
        <v>36</v>
      </c>
      <c r="J174" s="13" t="s">
        <v>675</v>
      </c>
      <c r="K174" s="13" t="s">
        <v>58</v>
      </c>
      <c r="L174" s="13" t="s">
        <v>39</v>
      </c>
      <c r="M174" s="14" t="s">
        <v>28</v>
      </c>
      <c r="N174" s="13" t="s">
        <v>216</v>
      </c>
      <c r="O174" s="13" t="s">
        <v>60</v>
      </c>
      <c r="P174" s="13" t="s">
        <v>61</v>
      </c>
      <c r="Q174" s="13">
        <v>21.0</v>
      </c>
    </row>
    <row r="175" ht="22.5" customHeight="1">
      <c r="A175" s="12"/>
      <c r="B175" s="13" t="s">
        <v>676</v>
      </c>
      <c r="C175" s="13" t="s">
        <v>31</v>
      </c>
      <c r="D175" s="13" t="s">
        <v>102</v>
      </c>
      <c r="E175" s="13" t="s">
        <v>33</v>
      </c>
      <c r="F175" s="13" t="s">
        <v>34</v>
      </c>
      <c r="G175" s="13" t="s">
        <v>30</v>
      </c>
      <c r="H175" s="13" t="s">
        <v>140</v>
      </c>
      <c r="I175" s="13" t="s">
        <v>24</v>
      </c>
      <c r="J175" s="13" t="s">
        <v>507</v>
      </c>
      <c r="K175" s="13" t="s">
        <v>58</v>
      </c>
      <c r="L175" s="13" t="s">
        <v>39</v>
      </c>
      <c r="M175" s="14" t="s">
        <v>28</v>
      </c>
      <c r="N175" s="13" t="s">
        <v>591</v>
      </c>
      <c r="O175" s="13" t="s">
        <v>30</v>
      </c>
      <c r="P175" s="13" t="s">
        <v>61</v>
      </c>
      <c r="Q175" s="13">
        <v>19.0</v>
      </c>
    </row>
    <row r="176" ht="22.5" customHeight="1">
      <c r="A176" s="12"/>
      <c r="B176" s="13" t="s">
        <v>551</v>
      </c>
      <c r="C176" s="14" t="s">
        <v>18</v>
      </c>
      <c r="D176" s="13" t="s">
        <v>552</v>
      </c>
      <c r="E176" s="13" t="s">
        <v>553</v>
      </c>
      <c r="F176" s="13" t="s">
        <v>34</v>
      </c>
      <c r="G176" s="13" t="s">
        <v>22</v>
      </c>
      <c r="H176" s="13" t="s">
        <v>405</v>
      </c>
      <c r="I176" s="13" t="s">
        <v>24</v>
      </c>
      <c r="J176" s="13" t="s">
        <v>123</v>
      </c>
      <c r="K176" s="13" t="s">
        <v>26</v>
      </c>
      <c r="L176" s="13" t="s">
        <v>50</v>
      </c>
      <c r="M176" s="14" t="s">
        <v>113</v>
      </c>
      <c r="N176" s="13" t="s">
        <v>554</v>
      </c>
      <c r="O176" s="13" t="s">
        <v>52</v>
      </c>
      <c r="P176" s="13" t="s">
        <v>61</v>
      </c>
      <c r="Q176" s="13">
        <v>40.0</v>
      </c>
    </row>
    <row r="177" ht="22.5" customHeight="1">
      <c r="A177" s="12"/>
      <c r="B177" s="13" t="s">
        <v>555</v>
      </c>
      <c r="C177" s="14" t="s">
        <v>28</v>
      </c>
      <c r="D177" s="13" t="s">
        <v>556</v>
      </c>
      <c r="E177" s="13" t="s">
        <v>158</v>
      </c>
      <c r="F177" s="13" t="s">
        <v>73</v>
      </c>
      <c r="G177" s="13" t="s">
        <v>30</v>
      </c>
      <c r="H177" s="13" t="s">
        <v>558</v>
      </c>
      <c r="I177" s="13" t="s">
        <v>24</v>
      </c>
      <c r="J177" s="13" t="s">
        <v>351</v>
      </c>
      <c r="K177" s="13" t="s">
        <v>26</v>
      </c>
      <c r="L177" s="13" t="s">
        <v>39</v>
      </c>
      <c r="M177" s="14" t="s">
        <v>28</v>
      </c>
      <c r="N177" s="13" t="s">
        <v>562</v>
      </c>
      <c r="O177" s="13" t="s">
        <v>30</v>
      </c>
      <c r="P177" s="13" t="s">
        <v>43</v>
      </c>
      <c r="Q177" s="13">
        <v>20.0</v>
      </c>
    </row>
    <row r="178" ht="22.5" customHeight="1">
      <c r="A178" s="12"/>
      <c r="B178" s="13" t="s">
        <v>563</v>
      </c>
      <c r="C178" s="14" t="s">
        <v>28</v>
      </c>
      <c r="D178" s="13" t="s">
        <v>564</v>
      </c>
      <c r="E178" s="13" t="s">
        <v>130</v>
      </c>
      <c r="F178" s="13" t="s">
        <v>78</v>
      </c>
      <c r="G178" s="13" t="s">
        <v>22</v>
      </c>
      <c r="H178" s="13" t="s">
        <v>565</v>
      </c>
      <c r="I178" s="13" t="s">
        <v>36</v>
      </c>
      <c r="J178" s="13" t="s">
        <v>496</v>
      </c>
      <c r="K178" s="13" t="s">
        <v>26</v>
      </c>
      <c r="L178" s="13" t="s">
        <v>107</v>
      </c>
      <c r="M178" s="14" t="s">
        <v>28</v>
      </c>
      <c r="N178" s="13" t="s">
        <v>568</v>
      </c>
      <c r="O178" s="13" t="s">
        <v>52</v>
      </c>
      <c r="P178" s="13" t="s">
        <v>43</v>
      </c>
      <c r="Q178" s="13">
        <v>19.0</v>
      </c>
    </row>
    <row r="179" ht="22.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M180" s="19"/>
      <c r="O180" s="19"/>
      <c r="P180" s="19"/>
      <c r="Q180" s="19"/>
    </row>
    <row r="181">
      <c r="M181" s="19"/>
      <c r="O181" s="19"/>
      <c r="P181" s="19"/>
      <c r="Q181" s="19"/>
    </row>
    <row r="182">
      <c r="M182" s="19"/>
      <c r="O182" s="19"/>
      <c r="P182" s="19"/>
      <c r="Q182" s="19"/>
    </row>
    <row r="183">
      <c r="M183" s="19"/>
      <c r="O183" s="19"/>
      <c r="P183" s="19"/>
      <c r="Q183" s="19"/>
    </row>
    <row r="184">
      <c r="M184" s="19"/>
      <c r="O184" s="19"/>
      <c r="P184" s="19"/>
      <c r="Q184" s="19"/>
    </row>
    <row r="185">
      <c r="M185" s="19"/>
      <c r="O185" s="19"/>
      <c r="P185" s="19"/>
      <c r="Q185" s="19"/>
    </row>
    <row r="186">
      <c r="M186" s="19"/>
      <c r="O186" s="19"/>
      <c r="P186" s="19"/>
      <c r="Q186" s="19"/>
    </row>
    <row r="187">
      <c r="M187" s="19"/>
      <c r="O187" s="19"/>
      <c r="P187" s="19"/>
      <c r="Q187" s="19"/>
    </row>
    <row r="188">
      <c r="M188" s="19"/>
      <c r="O188" s="19"/>
      <c r="P188" s="19"/>
      <c r="Q188" s="19"/>
    </row>
    <row r="189">
      <c r="M189" s="19"/>
      <c r="O189" s="19"/>
      <c r="P189" s="19"/>
      <c r="Q189" s="19"/>
    </row>
    <row r="190">
      <c r="M190" s="19"/>
      <c r="O190" s="19"/>
      <c r="P190" s="19"/>
      <c r="Q190" s="19"/>
    </row>
    <row r="191">
      <c r="M191" s="19"/>
      <c r="O191" s="19"/>
      <c r="P191" s="19"/>
      <c r="Q191" s="19"/>
    </row>
    <row r="192">
      <c r="M192" s="19"/>
      <c r="O192" s="19"/>
      <c r="P192" s="19"/>
      <c r="Q192" s="19"/>
    </row>
    <row r="193">
      <c r="M193" s="19"/>
      <c r="O193" s="19"/>
      <c r="P193" s="19"/>
      <c r="Q193" s="19"/>
    </row>
    <row r="194">
      <c r="M194" s="19"/>
      <c r="O194" s="19"/>
      <c r="P194" s="19"/>
      <c r="Q194" s="19"/>
    </row>
    <row r="195">
      <c r="M195" s="19"/>
      <c r="O195" s="19"/>
      <c r="P195" s="19"/>
      <c r="Q195" s="19"/>
    </row>
    <row r="196">
      <c r="M196" s="19"/>
      <c r="O196" s="19"/>
      <c r="P196" s="19"/>
      <c r="Q196" s="19"/>
    </row>
    <row r="197">
      <c r="M197" s="19"/>
      <c r="O197" s="19"/>
      <c r="P197" s="19"/>
      <c r="Q197" s="19"/>
    </row>
    <row r="198">
      <c r="M198" s="19"/>
      <c r="O198" s="19"/>
      <c r="P198" s="19"/>
      <c r="Q198" s="19"/>
    </row>
    <row r="199">
      <c r="M199" s="19"/>
      <c r="O199" s="19"/>
      <c r="P199" s="19"/>
      <c r="Q199" s="19"/>
    </row>
    <row r="200">
      <c r="M200" s="19"/>
      <c r="O200" s="19"/>
      <c r="P200" s="19"/>
      <c r="Q200" s="19"/>
    </row>
    <row r="201">
      <c r="M201" s="19"/>
      <c r="O201" s="19"/>
      <c r="P201" s="19"/>
      <c r="Q201" s="19"/>
    </row>
    <row r="202">
      <c r="M202" s="19"/>
      <c r="O202" s="19"/>
      <c r="P202" s="19"/>
      <c r="Q202" s="19"/>
    </row>
    <row r="203">
      <c r="M203" s="19"/>
      <c r="O203" s="19"/>
      <c r="P203" s="19"/>
      <c r="Q203" s="19"/>
    </row>
    <row r="204">
      <c r="M204" s="19"/>
      <c r="O204" s="19"/>
      <c r="P204" s="19"/>
      <c r="Q204" s="19"/>
    </row>
    <row r="205">
      <c r="M205" s="19"/>
      <c r="O205" s="19"/>
      <c r="P205" s="19"/>
      <c r="Q205" s="19"/>
    </row>
    <row r="206">
      <c r="M206" s="19"/>
      <c r="O206" s="19"/>
      <c r="P206" s="19"/>
      <c r="Q206" s="19"/>
    </row>
    <row r="207">
      <c r="M207" s="19"/>
      <c r="O207" s="19"/>
      <c r="P207" s="19"/>
      <c r="Q207" s="19"/>
    </row>
    <row r="208">
      <c r="M208" s="19"/>
      <c r="O208" s="19"/>
      <c r="P208" s="19"/>
      <c r="Q208" s="19"/>
    </row>
    <row r="209">
      <c r="M209" s="19"/>
      <c r="O209" s="19"/>
      <c r="P209" s="19"/>
      <c r="Q209" s="19"/>
    </row>
    <row r="210">
      <c r="M210" s="19"/>
      <c r="O210" s="19"/>
      <c r="P210" s="19"/>
      <c r="Q210" s="19"/>
    </row>
    <row r="211">
      <c r="M211" s="19"/>
      <c r="O211" s="19"/>
      <c r="P211" s="19"/>
      <c r="Q211" s="19"/>
    </row>
    <row r="212">
      <c r="M212" s="19"/>
      <c r="O212" s="19"/>
      <c r="P212" s="19"/>
      <c r="Q212" s="19"/>
    </row>
    <row r="213">
      <c r="M213" s="19"/>
      <c r="O213" s="19"/>
      <c r="P213" s="19"/>
      <c r="Q213" s="19"/>
    </row>
    <row r="214">
      <c r="M214" s="19"/>
      <c r="O214" s="19"/>
      <c r="P214" s="19"/>
      <c r="Q214" s="19"/>
    </row>
    <row r="215">
      <c r="M215" s="19"/>
      <c r="O215" s="19"/>
      <c r="P215" s="19"/>
      <c r="Q215" s="19"/>
    </row>
    <row r="216">
      <c r="M216" s="19"/>
      <c r="O216" s="19"/>
      <c r="P216" s="19"/>
      <c r="Q216" s="19"/>
    </row>
    <row r="217">
      <c r="M217" s="19"/>
      <c r="O217" s="19"/>
      <c r="P217" s="19"/>
      <c r="Q217" s="19"/>
    </row>
    <row r="218">
      <c r="M218" s="19"/>
      <c r="O218" s="19"/>
      <c r="P218" s="19"/>
      <c r="Q218" s="19"/>
    </row>
    <row r="219">
      <c r="M219" s="19"/>
      <c r="O219" s="19"/>
      <c r="P219" s="19"/>
      <c r="Q219" s="19"/>
    </row>
    <row r="220">
      <c r="M220" s="19"/>
      <c r="O220" s="19"/>
      <c r="P220" s="19"/>
      <c r="Q220" s="19"/>
    </row>
    <row r="221">
      <c r="M221" s="19"/>
      <c r="O221" s="19"/>
      <c r="P221" s="19"/>
      <c r="Q221" s="19"/>
    </row>
    <row r="222">
      <c r="M222" s="19"/>
      <c r="O222" s="19"/>
      <c r="P222" s="19"/>
      <c r="Q222" s="19"/>
    </row>
    <row r="223">
      <c r="M223" s="19"/>
      <c r="O223" s="19"/>
      <c r="P223" s="19"/>
      <c r="Q223" s="19"/>
    </row>
    <row r="224">
      <c r="M224" s="19"/>
      <c r="O224" s="19"/>
      <c r="P224" s="19"/>
      <c r="Q224" s="19"/>
    </row>
    <row r="225">
      <c r="M225" s="19"/>
      <c r="O225" s="19"/>
      <c r="P225" s="19"/>
      <c r="Q225" s="19"/>
    </row>
    <row r="226">
      <c r="M226" s="19"/>
      <c r="O226" s="19"/>
      <c r="P226" s="19"/>
      <c r="Q226" s="19"/>
    </row>
    <row r="227">
      <c r="M227" s="19"/>
      <c r="O227" s="19"/>
      <c r="P227" s="19"/>
      <c r="Q227" s="19"/>
    </row>
    <row r="228">
      <c r="M228" s="19"/>
      <c r="O228" s="19"/>
      <c r="P228" s="19"/>
      <c r="Q228" s="19"/>
    </row>
    <row r="229">
      <c r="M229" s="19"/>
      <c r="O229" s="19"/>
      <c r="P229" s="19"/>
      <c r="Q229" s="19"/>
    </row>
    <row r="230">
      <c r="M230" s="19"/>
      <c r="O230" s="19"/>
      <c r="P230" s="19"/>
      <c r="Q230" s="19"/>
    </row>
    <row r="231">
      <c r="M231" s="19"/>
      <c r="O231" s="19"/>
      <c r="P231" s="19"/>
      <c r="Q231" s="19"/>
    </row>
    <row r="232">
      <c r="M232" s="19"/>
      <c r="O232" s="19"/>
      <c r="P232" s="19"/>
      <c r="Q232" s="19"/>
    </row>
    <row r="233">
      <c r="M233" s="19"/>
      <c r="O233" s="19"/>
      <c r="P233" s="19"/>
      <c r="Q233" s="19"/>
    </row>
    <row r="234">
      <c r="M234" s="19"/>
      <c r="O234" s="19"/>
      <c r="P234" s="19"/>
      <c r="Q234" s="19"/>
    </row>
    <row r="235">
      <c r="M235" s="19"/>
      <c r="O235" s="19"/>
      <c r="P235" s="19"/>
      <c r="Q235" s="19"/>
    </row>
    <row r="236">
      <c r="M236" s="19"/>
      <c r="O236" s="19"/>
      <c r="P236" s="19"/>
      <c r="Q236" s="19"/>
    </row>
    <row r="237">
      <c r="M237" s="19"/>
      <c r="O237" s="19"/>
      <c r="P237" s="19"/>
      <c r="Q237" s="19"/>
    </row>
    <row r="238">
      <c r="M238" s="19"/>
      <c r="O238" s="19"/>
      <c r="P238" s="19"/>
      <c r="Q238" s="19"/>
    </row>
    <row r="239">
      <c r="M239" s="19"/>
      <c r="O239" s="19"/>
      <c r="P239" s="19"/>
      <c r="Q239" s="19"/>
    </row>
    <row r="240">
      <c r="M240" s="19"/>
      <c r="O240" s="19"/>
      <c r="P240" s="19"/>
      <c r="Q240" s="19"/>
    </row>
    <row r="241">
      <c r="M241" s="19"/>
      <c r="O241" s="19"/>
      <c r="P241" s="19"/>
      <c r="Q241" s="19"/>
    </row>
    <row r="242">
      <c r="M242" s="19"/>
      <c r="O242" s="19"/>
      <c r="P242" s="19"/>
      <c r="Q242" s="19"/>
    </row>
    <row r="243">
      <c r="M243" s="19"/>
      <c r="O243" s="19"/>
      <c r="P243" s="19"/>
      <c r="Q243" s="19"/>
    </row>
    <row r="244">
      <c r="M244" s="19"/>
      <c r="O244" s="19"/>
      <c r="P244" s="19"/>
      <c r="Q244" s="19"/>
    </row>
    <row r="245">
      <c r="M245" s="19"/>
      <c r="O245" s="19"/>
      <c r="P245" s="19"/>
      <c r="Q245" s="19"/>
    </row>
    <row r="246">
      <c r="M246" s="19"/>
      <c r="O246" s="19"/>
      <c r="P246" s="19"/>
      <c r="Q246" s="19"/>
    </row>
    <row r="247">
      <c r="M247" s="19"/>
      <c r="O247" s="19"/>
      <c r="P247" s="19"/>
      <c r="Q247" s="19"/>
    </row>
    <row r="248">
      <c r="M248" s="19"/>
      <c r="O248" s="19"/>
      <c r="P248" s="19"/>
      <c r="Q248" s="19"/>
    </row>
    <row r="249">
      <c r="M249" s="19"/>
      <c r="O249" s="19"/>
      <c r="P249" s="19"/>
      <c r="Q249" s="19"/>
    </row>
    <row r="250">
      <c r="M250" s="19"/>
      <c r="O250" s="19"/>
      <c r="P250" s="19"/>
      <c r="Q250" s="19"/>
    </row>
    <row r="251">
      <c r="M251" s="19"/>
      <c r="O251" s="19"/>
      <c r="P251" s="19"/>
      <c r="Q251" s="19"/>
    </row>
    <row r="252">
      <c r="M252" s="19"/>
      <c r="O252" s="19"/>
      <c r="P252" s="19"/>
      <c r="Q252" s="19"/>
    </row>
    <row r="253">
      <c r="M253" s="19"/>
      <c r="O253" s="19"/>
      <c r="P253" s="19"/>
      <c r="Q253" s="19"/>
    </row>
    <row r="254">
      <c r="M254" s="19"/>
      <c r="O254" s="19"/>
      <c r="P254" s="19"/>
      <c r="Q254" s="19"/>
    </row>
    <row r="255">
      <c r="M255" s="19"/>
      <c r="O255" s="19"/>
      <c r="P255" s="19"/>
      <c r="Q255" s="19"/>
    </row>
    <row r="256">
      <c r="M256" s="19"/>
      <c r="O256" s="19"/>
      <c r="P256" s="19"/>
      <c r="Q256" s="19"/>
    </row>
    <row r="257">
      <c r="M257" s="19"/>
      <c r="O257" s="19"/>
      <c r="P257" s="19"/>
      <c r="Q257" s="19"/>
    </row>
    <row r="258">
      <c r="M258" s="19"/>
      <c r="O258" s="19"/>
      <c r="P258" s="19"/>
      <c r="Q258" s="19"/>
    </row>
    <row r="259">
      <c r="M259" s="19"/>
      <c r="O259" s="19"/>
      <c r="P259" s="19"/>
      <c r="Q259" s="19"/>
    </row>
    <row r="260">
      <c r="M260" s="19"/>
      <c r="O260" s="19"/>
      <c r="P260" s="19"/>
      <c r="Q260" s="19"/>
    </row>
    <row r="261">
      <c r="M261" s="19"/>
      <c r="O261" s="19"/>
      <c r="P261" s="19"/>
      <c r="Q261" s="19"/>
    </row>
    <row r="262">
      <c r="M262" s="19"/>
      <c r="O262" s="19"/>
      <c r="P262" s="19"/>
      <c r="Q262" s="19"/>
    </row>
    <row r="263">
      <c r="M263" s="19"/>
      <c r="O263" s="19"/>
      <c r="P263" s="19"/>
      <c r="Q263" s="19"/>
    </row>
    <row r="264">
      <c r="M264" s="19"/>
      <c r="O264" s="19"/>
      <c r="P264" s="19"/>
      <c r="Q264" s="19"/>
    </row>
    <row r="265">
      <c r="M265" s="19"/>
      <c r="O265" s="19"/>
      <c r="P265" s="19"/>
      <c r="Q265" s="19"/>
    </row>
    <row r="266">
      <c r="M266" s="19"/>
      <c r="O266" s="19"/>
      <c r="P266" s="19"/>
      <c r="Q266" s="19"/>
    </row>
    <row r="267">
      <c r="M267" s="19"/>
      <c r="O267" s="19"/>
      <c r="P267" s="19"/>
      <c r="Q267" s="19"/>
    </row>
    <row r="268">
      <c r="M268" s="19"/>
      <c r="O268" s="19"/>
      <c r="P268" s="19"/>
      <c r="Q268" s="19"/>
    </row>
    <row r="269">
      <c r="M269" s="19"/>
      <c r="O269" s="19"/>
      <c r="P269" s="19"/>
      <c r="Q269" s="19"/>
    </row>
    <row r="270">
      <c r="M270" s="19"/>
      <c r="O270" s="19"/>
      <c r="P270" s="19"/>
      <c r="Q270" s="19"/>
    </row>
    <row r="271">
      <c r="M271" s="19"/>
      <c r="O271" s="19"/>
      <c r="P271" s="19"/>
      <c r="Q271" s="19"/>
    </row>
    <row r="272">
      <c r="M272" s="19"/>
      <c r="O272" s="19"/>
      <c r="P272" s="19"/>
      <c r="Q272" s="19"/>
    </row>
    <row r="273">
      <c r="M273" s="19"/>
      <c r="O273" s="19"/>
      <c r="P273" s="19"/>
      <c r="Q273" s="19"/>
    </row>
    <row r="274">
      <c r="M274" s="19"/>
      <c r="O274" s="19"/>
      <c r="P274" s="19"/>
      <c r="Q274" s="19"/>
    </row>
    <row r="275">
      <c r="M275" s="19"/>
      <c r="O275" s="19"/>
      <c r="P275" s="19"/>
      <c r="Q275" s="19"/>
    </row>
    <row r="276">
      <c r="M276" s="19"/>
      <c r="O276" s="19"/>
      <c r="P276" s="19"/>
      <c r="Q276" s="19"/>
    </row>
    <row r="277">
      <c r="M277" s="19"/>
      <c r="O277" s="19"/>
      <c r="P277" s="19"/>
      <c r="Q277" s="19"/>
    </row>
    <row r="278">
      <c r="M278" s="19"/>
      <c r="O278" s="19"/>
      <c r="P278" s="19"/>
      <c r="Q278" s="19"/>
    </row>
    <row r="279">
      <c r="M279" s="19"/>
      <c r="O279" s="19"/>
      <c r="P279" s="19"/>
      <c r="Q279" s="19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</cols>
  <sheetData>
    <row r="1" ht="22.5" customHeight="1">
      <c r="A1" s="1" t="s">
        <v>1</v>
      </c>
      <c r="B1" s="1" t="s">
        <v>71</v>
      </c>
      <c r="C1" s="1" t="s">
        <v>72</v>
      </c>
      <c r="D1" s="1" t="s">
        <v>74</v>
      </c>
      <c r="E1" s="1" t="s">
        <v>75</v>
      </c>
      <c r="F1" s="1" t="s">
        <v>77</v>
      </c>
      <c r="G1" s="1" t="s">
        <v>79</v>
      </c>
      <c r="H1" s="1" t="s">
        <v>81</v>
      </c>
      <c r="I1" s="1" t="s">
        <v>82</v>
      </c>
      <c r="J1" s="1" t="s">
        <v>83</v>
      </c>
      <c r="K1" s="1" t="s">
        <v>85</v>
      </c>
      <c r="L1" s="2" t="s">
        <v>86</v>
      </c>
      <c r="M1" s="1" t="s">
        <v>87</v>
      </c>
      <c r="N1" s="2" t="s">
        <v>88</v>
      </c>
      <c r="O1" s="2" t="s">
        <v>89</v>
      </c>
      <c r="P1" s="2" t="s">
        <v>90</v>
      </c>
      <c r="Q1" s="3" t="s">
        <v>17</v>
      </c>
    </row>
    <row r="2" ht="22.5" customHeight="1">
      <c r="A2" s="5"/>
      <c r="B2" s="7" t="s">
        <v>19</v>
      </c>
      <c r="C2" s="6" t="s">
        <v>18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8" t="s">
        <v>28</v>
      </c>
      <c r="M2" s="7" t="s">
        <v>29</v>
      </c>
      <c r="N2" s="9" t="s">
        <v>30</v>
      </c>
      <c r="O2" s="10"/>
      <c r="P2" s="10"/>
      <c r="Q2" s="5"/>
    </row>
    <row r="3" ht="22.5" customHeight="1">
      <c r="A3" s="5"/>
      <c r="B3" s="7" t="s">
        <v>32</v>
      </c>
      <c r="C3" s="7" t="s">
        <v>31</v>
      </c>
      <c r="D3" s="7" t="s">
        <v>33</v>
      </c>
      <c r="E3" s="7" t="s">
        <v>34</v>
      </c>
      <c r="F3" s="7" t="s">
        <v>30</v>
      </c>
      <c r="G3" s="7" t="s">
        <v>35</v>
      </c>
      <c r="H3" s="7" t="s">
        <v>36</v>
      </c>
      <c r="I3" s="7" t="s">
        <v>37</v>
      </c>
      <c r="J3" s="7" t="s">
        <v>38</v>
      </c>
      <c r="K3" s="7" t="s">
        <v>39</v>
      </c>
      <c r="L3" s="9" t="s">
        <v>40</v>
      </c>
      <c r="M3" s="7" t="s">
        <v>41</v>
      </c>
      <c r="N3" s="9" t="s">
        <v>42</v>
      </c>
      <c r="O3" s="9" t="s">
        <v>43</v>
      </c>
      <c r="P3" s="9">
        <v>19.0</v>
      </c>
      <c r="Q3" s="11"/>
    </row>
    <row r="4" ht="22.5" customHeight="1">
      <c r="A4" s="13" t="s">
        <v>44</v>
      </c>
      <c r="B4" s="13" t="s">
        <v>45</v>
      </c>
      <c r="C4" s="14" t="s">
        <v>28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24</v>
      </c>
      <c r="I4" s="13" t="s">
        <v>37</v>
      </c>
      <c r="J4" s="13" t="s">
        <v>26</v>
      </c>
      <c r="K4" s="13" t="s">
        <v>50</v>
      </c>
      <c r="L4" s="15" t="s">
        <v>28</v>
      </c>
      <c r="M4" s="13" t="s">
        <v>51</v>
      </c>
      <c r="N4" s="16" t="s">
        <v>52</v>
      </c>
      <c r="O4" s="16" t="s">
        <v>43</v>
      </c>
      <c r="P4" s="16">
        <v>18.0</v>
      </c>
      <c r="Q4" s="17"/>
    </row>
    <row r="5" ht="22.5" customHeight="1">
      <c r="A5" s="13" t="s">
        <v>53</v>
      </c>
      <c r="B5" s="13" t="s">
        <v>55</v>
      </c>
      <c r="C5" s="13" t="s">
        <v>54</v>
      </c>
      <c r="D5" s="13" t="s">
        <v>56</v>
      </c>
      <c r="E5" s="13" t="s">
        <v>21</v>
      </c>
      <c r="F5" s="13" t="s">
        <v>48</v>
      </c>
      <c r="G5" s="13" t="s">
        <v>57</v>
      </c>
      <c r="H5" s="13" t="s">
        <v>24</v>
      </c>
      <c r="I5" s="13" t="s">
        <v>25</v>
      </c>
      <c r="J5" s="13" t="s">
        <v>58</v>
      </c>
      <c r="K5" s="13" t="s">
        <v>39</v>
      </c>
      <c r="L5" s="15" t="s">
        <v>28</v>
      </c>
      <c r="M5" s="13" t="s">
        <v>59</v>
      </c>
      <c r="N5" s="16" t="s">
        <v>60</v>
      </c>
      <c r="O5" s="16" t="s">
        <v>61</v>
      </c>
      <c r="P5" s="16">
        <v>14.0</v>
      </c>
      <c r="Q5" s="17"/>
    </row>
    <row r="6" ht="22.5" customHeight="1">
      <c r="A6" s="13" t="s">
        <v>62</v>
      </c>
      <c r="B6" s="13" t="s">
        <v>63</v>
      </c>
      <c r="C6" s="13" t="s">
        <v>31</v>
      </c>
      <c r="D6" s="13" t="s">
        <v>64</v>
      </c>
      <c r="E6" s="13" t="s">
        <v>21</v>
      </c>
      <c r="F6" s="13" t="s">
        <v>60</v>
      </c>
      <c r="G6" s="13" t="s">
        <v>65</v>
      </c>
      <c r="H6" s="13" t="s">
        <v>36</v>
      </c>
      <c r="I6" s="13" t="s">
        <v>66</v>
      </c>
      <c r="J6" s="13" t="s">
        <v>67</v>
      </c>
      <c r="K6" s="13" t="s">
        <v>50</v>
      </c>
      <c r="L6" s="16">
        <v>0.0</v>
      </c>
      <c r="M6" s="13" t="s">
        <v>68</v>
      </c>
      <c r="N6" s="16" t="s">
        <v>60</v>
      </c>
      <c r="O6" s="16" t="s">
        <v>43</v>
      </c>
      <c r="P6" s="16">
        <v>18.0</v>
      </c>
      <c r="Q6" s="17"/>
    </row>
    <row r="7" ht="22.5" customHeight="1">
      <c r="A7" s="13" t="s">
        <v>69</v>
      </c>
      <c r="B7" s="13" t="s">
        <v>70</v>
      </c>
      <c r="C7" s="14" t="s">
        <v>18</v>
      </c>
      <c r="D7" s="13" t="s">
        <v>64</v>
      </c>
      <c r="E7" s="13" t="s">
        <v>73</v>
      </c>
      <c r="F7" s="13" t="s">
        <v>30</v>
      </c>
      <c r="G7" s="13" t="s">
        <v>76</v>
      </c>
      <c r="H7" s="13" t="s">
        <v>78</v>
      </c>
      <c r="I7" s="13" t="s">
        <v>80</v>
      </c>
      <c r="J7" s="13" t="s">
        <v>67</v>
      </c>
      <c r="K7" s="13" t="s">
        <v>39</v>
      </c>
      <c r="L7" s="15" t="s">
        <v>28</v>
      </c>
      <c r="M7" s="13" t="s">
        <v>84</v>
      </c>
      <c r="N7" s="16" t="s">
        <v>30</v>
      </c>
      <c r="O7" s="16" t="s">
        <v>43</v>
      </c>
      <c r="P7" s="16">
        <v>18.0</v>
      </c>
      <c r="Q7" s="17"/>
    </row>
    <row r="8" ht="22.5" customHeight="1">
      <c r="A8" s="13" t="s">
        <v>91</v>
      </c>
      <c r="B8" s="13" t="s">
        <v>92</v>
      </c>
      <c r="C8" s="14" t="s">
        <v>28</v>
      </c>
      <c r="D8" s="13" t="s">
        <v>93</v>
      </c>
      <c r="E8" s="13" t="s">
        <v>78</v>
      </c>
      <c r="F8" s="13" t="s">
        <v>22</v>
      </c>
      <c r="G8" s="13" t="s">
        <v>94</v>
      </c>
      <c r="H8" s="13" t="s">
        <v>24</v>
      </c>
      <c r="I8" s="13" t="s">
        <v>95</v>
      </c>
      <c r="J8" s="13" t="s">
        <v>67</v>
      </c>
      <c r="K8" s="13" t="s">
        <v>39</v>
      </c>
      <c r="L8" s="16" t="s">
        <v>40</v>
      </c>
      <c r="M8" s="13" t="s">
        <v>96</v>
      </c>
      <c r="N8" s="16" t="s">
        <v>52</v>
      </c>
      <c r="O8" s="16" t="s">
        <v>61</v>
      </c>
      <c r="P8" s="16">
        <v>18.0</v>
      </c>
      <c r="Q8" s="17"/>
    </row>
    <row r="9" ht="22.5" customHeight="1">
      <c r="A9" s="13" t="s">
        <v>97</v>
      </c>
      <c r="B9" s="13" t="s">
        <v>98</v>
      </c>
      <c r="C9" s="14" t="s">
        <v>28</v>
      </c>
      <c r="D9" s="13" t="s">
        <v>20</v>
      </c>
      <c r="E9" s="13" t="s">
        <v>21</v>
      </c>
      <c r="F9" s="13" t="s">
        <v>22</v>
      </c>
      <c r="G9" s="13" t="s">
        <v>23</v>
      </c>
      <c r="H9" s="13" t="s">
        <v>24</v>
      </c>
      <c r="I9" s="13" t="s">
        <v>99</v>
      </c>
      <c r="J9" s="13" t="s">
        <v>26</v>
      </c>
      <c r="K9" s="13" t="s">
        <v>27</v>
      </c>
      <c r="L9" s="15" t="s">
        <v>28</v>
      </c>
      <c r="M9" s="13" t="s">
        <v>100</v>
      </c>
      <c r="N9" s="16" t="s">
        <v>30</v>
      </c>
      <c r="O9" s="16" t="s">
        <v>43</v>
      </c>
      <c r="P9" s="16">
        <v>18.0</v>
      </c>
      <c r="Q9" s="17"/>
    </row>
    <row r="10" ht="22.5" customHeight="1">
      <c r="A10" s="13" t="s">
        <v>101</v>
      </c>
      <c r="B10" s="13" t="s">
        <v>102</v>
      </c>
      <c r="C10" s="13" t="s">
        <v>54</v>
      </c>
      <c r="D10" s="13" t="s">
        <v>33</v>
      </c>
      <c r="E10" s="13" t="s">
        <v>103</v>
      </c>
      <c r="F10" s="13" t="s">
        <v>22</v>
      </c>
      <c r="G10" s="13" t="s">
        <v>104</v>
      </c>
      <c r="H10" s="13" t="s">
        <v>105</v>
      </c>
      <c r="I10" s="13" t="s">
        <v>106</v>
      </c>
      <c r="J10" s="13" t="s">
        <v>26</v>
      </c>
      <c r="K10" s="13" t="s">
        <v>107</v>
      </c>
      <c r="L10" s="16" t="s">
        <v>40</v>
      </c>
      <c r="M10" s="13" t="s">
        <v>108</v>
      </c>
      <c r="N10" s="16" t="s">
        <v>52</v>
      </c>
      <c r="O10" s="16" t="s">
        <v>61</v>
      </c>
      <c r="P10" s="16">
        <v>67.0</v>
      </c>
      <c r="Q10" s="17"/>
    </row>
    <row r="11" ht="22.5" customHeight="1">
      <c r="A11" s="13" t="s">
        <v>109</v>
      </c>
      <c r="B11" s="13" t="s">
        <v>110</v>
      </c>
      <c r="C11" s="13" t="s">
        <v>31</v>
      </c>
      <c r="D11" s="13" t="s">
        <v>64</v>
      </c>
      <c r="E11" s="13" t="s">
        <v>103</v>
      </c>
      <c r="F11" s="13" t="s">
        <v>60</v>
      </c>
      <c r="G11" s="13" t="s">
        <v>111</v>
      </c>
      <c r="H11" s="13" t="s">
        <v>24</v>
      </c>
      <c r="I11" s="13" t="s">
        <v>112</v>
      </c>
      <c r="J11" s="13" t="s">
        <v>67</v>
      </c>
      <c r="K11" s="13" t="s">
        <v>39</v>
      </c>
      <c r="L11" s="15" t="s">
        <v>113</v>
      </c>
      <c r="M11" s="13" t="s">
        <v>114</v>
      </c>
      <c r="N11" s="16" t="s">
        <v>60</v>
      </c>
      <c r="O11" s="16" t="s">
        <v>43</v>
      </c>
      <c r="P11" s="16">
        <v>20.0</v>
      </c>
      <c r="Q11" s="17"/>
    </row>
    <row r="12" ht="22.5" customHeight="1">
      <c r="A12" s="13" t="s">
        <v>115</v>
      </c>
      <c r="B12" s="13" t="s">
        <v>116</v>
      </c>
      <c r="C12" s="14" t="s">
        <v>28</v>
      </c>
      <c r="D12" s="13" t="s">
        <v>33</v>
      </c>
      <c r="E12" s="13" t="s">
        <v>73</v>
      </c>
      <c r="F12" s="13" t="s">
        <v>48</v>
      </c>
      <c r="G12" s="13" t="s">
        <v>117</v>
      </c>
      <c r="H12" s="13" t="s">
        <v>36</v>
      </c>
      <c r="I12" s="13" t="s">
        <v>37</v>
      </c>
      <c r="J12" s="13" t="s">
        <v>67</v>
      </c>
      <c r="K12" s="13" t="s">
        <v>39</v>
      </c>
      <c r="L12" s="15" t="s">
        <v>113</v>
      </c>
      <c r="M12" s="13" t="s">
        <v>118</v>
      </c>
      <c r="N12" s="16" t="s">
        <v>30</v>
      </c>
      <c r="O12" s="16" t="s">
        <v>61</v>
      </c>
      <c r="P12" s="16">
        <v>20.0</v>
      </c>
      <c r="Q12" s="17"/>
    </row>
    <row r="13" ht="22.5" customHeight="1">
      <c r="A13" s="13" t="s">
        <v>119</v>
      </c>
      <c r="B13" s="13" t="s">
        <v>102</v>
      </c>
      <c r="C13" s="14" t="s">
        <v>28</v>
      </c>
      <c r="D13" s="13" t="s">
        <v>120</v>
      </c>
      <c r="E13" s="13" t="s">
        <v>21</v>
      </c>
      <c r="F13" s="13" t="s">
        <v>60</v>
      </c>
      <c r="G13" s="13" t="s">
        <v>121</v>
      </c>
      <c r="H13" s="13" t="s">
        <v>122</v>
      </c>
      <c r="I13" s="13" t="s">
        <v>123</v>
      </c>
      <c r="J13" s="13" t="s">
        <v>67</v>
      </c>
      <c r="K13" s="13" t="s">
        <v>27</v>
      </c>
      <c r="L13" s="15" t="s">
        <v>113</v>
      </c>
      <c r="M13" s="13" t="s">
        <v>124</v>
      </c>
      <c r="N13" s="16" t="s">
        <v>42</v>
      </c>
      <c r="O13" s="16" t="s">
        <v>61</v>
      </c>
      <c r="P13" s="16">
        <v>18.0</v>
      </c>
      <c r="Q13" s="17"/>
    </row>
    <row r="14" ht="22.5" customHeight="1">
      <c r="B14" s="13" t="s">
        <v>110</v>
      </c>
      <c r="C14" s="13" t="s">
        <v>31</v>
      </c>
      <c r="D14" s="13" t="s">
        <v>125</v>
      </c>
      <c r="E14" s="13" t="s">
        <v>103</v>
      </c>
      <c r="F14" s="13" t="s">
        <v>48</v>
      </c>
      <c r="G14" s="13" t="s">
        <v>126</v>
      </c>
      <c r="H14" s="13" t="s">
        <v>78</v>
      </c>
      <c r="I14" s="13" t="s">
        <v>80</v>
      </c>
      <c r="J14" s="13" t="s">
        <v>38</v>
      </c>
      <c r="K14" s="13" t="s">
        <v>39</v>
      </c>
      <c r="L14" s="15" t="s">
        <v>113</v>
      </c>
      <c r="M14" s="13" t="s">
        <v>127</v>
      </c>
      <c r="N14" s="16" t="s">
        <v>52</v>
      </c>
      <c r="O14" s="16" t="s">
        <v>43</v>
      </c>
      <c r="P14" s="16">
        <v>19.0</v>
      </c>
      <c r="Q14" s="17"/>
    </row>
    <row r="15" ht="22.5" customHeight="1">
      <c r="A15" s="13" t="s">
        <v>128</v>
      </c>
      <c r="B15" s="13" t="s">
        <v>129</v>
      </c>
      <c r="C15" s="14" t="s">
        <v>28</v>
      </c>
      <c r="D15" s="13" t="s">
        <v>130</v>
      </c>
      <c r="E15" s="13" t="s">
        <v>34</v>
      </c>
      <c r="F15" s="13" t="s">
        <v>22</v>
      </c>
      <c r="G15" s="13" t="s">
        <v>131</v>
      </c>
      <c r="H15" s="13" t="s">
        <v>24</v>
      </c>
      <c r="I15" s="13" t="s">
        <v>132</v>
      </c>
      <c r="J15" s="13" t="s">
        <v>38</v>
      </c>
      <c r="K15" s="13" t="s">
        <v>39</v>
      </c>
      <c r="L15" s="15" t="s">
        <v>113</v>
      </c>
      <c r="M15" s="13" t="s">
        <v>133</v>
      </c>
      <c r="N15" s="16" t="s">
        <v>52</v>
      </c>
      <c r="O15" s="16" t="s">
        <v>43</v>
      </c>
      <c r="P15" s="16">
        <v>16.0</v>
      </c>
      <c r="Q15" s="17"/>
    </row>
    <row r="16" ht="22.5" customHeight="1">
      <c r="A16" s="13" t="s">
        <v>134</v>
      </c>
      <c r="B16" s="13" t="s">
        <v>135</v>
      </c>
      <c r="C16" s="14" t="s">
        <v>18</v>
      </c>
      <c r="D16" s="13" t="s">
        <v>136</v>
      </c>
      <c r="E16" s="13" t="s">
        <v>103</v>
      </c>
      <c r="F16" s="13" t="s">
        <v>30</v>
      </c>
      <c r="G16" s="13" t="s">
        <v>137</v>
      </c>
      <c r="H16" s="13" t="s">
        <v>36</v>
      </c>
      <c r="I16" s="13" t="s">
        <v>37</v>
      </c>
      <c r="J16" s="13" t="s">
        <v>38</v>
      </c>
      <c r="K16" s="13" t="s">
        <v>39</v>
      </c>
      <c r="L16" s="15" t="s">
        <v>28</v>
      </c>
      <c r="M16" s="13" t="s">
        <v>138</v>
      </c>
      <c r="N16" s="16" t="s">
        <v>52</v>
      </c>
      <c r="O16" s="16" t="s">
        <v>43</v>
      </c>
      <c r="P16" s="16">
        <v>19.0</v>
      </c>
      <c r="Q16" s="17"/>
    </row>
    <row r="17" ht="22.5" customHeight="1">
      <c r="A17" s="13" t="s">
        <v>139</v>
      </c>
      <c r="B17" s="13" t="s">
        <v>102</v>
      </c>
      <c r="C17" s="13" t="s">
        <v>54</v>
      </c>
      <c r="D17" s="13" t="s">
        <v>20</v>
      </c>
      <c r="E17" s="13" t="s">
        <v>21</v>
      </c>
      <c r="F17" s="13" t="s">
        <v>60</v>
      </c>
      <c r="G17" s="13" t="s">
        <v>140</v>
      </c>
      <c r="H17" s="13" t="s">
        <v>36</v>
      </c>
      <c r="I17" s="13" t="s">
        <v>141</v>
      </c>
      <c r="J17" s="13" t="s">
        <v>38</v>
      </c>
      <c r="K17" s="13" t="s">
        <v>27</v>
      </c>
      <c r="L17" s="16">
        <v>0.0</v>
      </c>
      <c r="M17" s="13" t="s">
        <v>142</v>
      </c>
      <c r="N17" s="16" t="s">
        <v>60</v>
      </c>
      <c r="O17" s="16" t="s">
        <v>61</v>
      </c>
      <c r="P17" s="16">
        <v>18.0</v>
      </c>
      <c r="Q17" s="17"/>
    </row>
    <row r="18" ht="22.5" customHeight="1">
      <c r="A18" s="13" t="s">
        <v>143</v>
      </c>
      <c r="B18" s="13" t="s">
        <v>144</v>
      </c>
      <c r="C18" s="13" t="s">
        <v>31</v>
      </c>
      <c r="D18" s="13" t="s">
        <v>33</v>
      </c>
      <c r="E18" s="13" t="s">
        <v>34</v>
      </c>
      <c r="F18" s="13" t="s">
        <v>30</v>
      </c>
      <c r="G18" s="13" t="s">
        <v>145</v>
      </c>
      <c r="H18" s="13" t="s">
        <v>78</v>
      </c>
      <c r="I18" s="13" t="s">
        <v>146</v>
      </c>
      <c r="J18" s="13" t="s">
        <v>67</v>
      </c>
      <c r="K18" s="13" t="s">
        <v>50</v>
      </c>
      <c r="L18" s="15" t="s">
        <v>28</v>
      </c>
      <c r="M18" s="13" t="s">
        <v>133</v>
      </c>
      <c r="N18" s="16" t="s">
        <v>30</v>
      </c>
      <c r="O18" s="16" t="s">
        <v>61</v>
      </c>
      <c r="P18" s="16">
        <v>19.0</v>
      </c>
      <c r="Q18" s="17"/>
    </row>
    <row r="19" ht="22.5" customHeight="1">
      <c r="A19" s="13" t="s">
        <v>147</v>
      </c>
      <c r="B19" s="13" t="s">
        <v>55</v>
      </c>
      <c r="C19" s="14" t="s">
        <v>28</v>
      </c>
      <c r="D19" s="13" t="s">
        <v>33</v>
      </c>
      <c r="E19" s="13" t="s">
        <v>103</v>
      </c>
      <c r="F19" s="13" t="s">
        <v>48</v>
      </c>
      <c r="G19" s="13" t="s">
        <v>148</v>
      </c>
      <c r="H19" s="13" t="s">
        <v>36</v>
      </c>
      <c r="I19" s="13" t="s">
        <v>141</v>
      </c>
      <c r="J19" s="13" t="s">
        <v>26</v>
      </c>
      <c r="K19" s="13" t="s">
        <v>39</v>
      </c>
      <c r="L19" s="15" t="s">
        <v>113</v>
      </c>
      <c r="M19" s="13" t="s">
        <v>149</v>
      </c>
      <c r="N19" s="16" t="s">
        <v>30</v>
      </c>
      <c r="O19" s="16" t="s">
        <v>61</v>
      </c>
      <c r="P19" s="16">
        <v>19.0</v>
      </c>
      <c r="Q19" s="17"/>
    </row>
    <row r="20" ht="22.5" customHeight="1">
      <c r="A20" s="13" t="s">
        <v>150</v>
      </c>
      <c r="B20" s="13" t="s">
        <v>151</v>
      </c>
      <c r="C20" s="13" t="s">
        <v>31</v>
      </c>
      <c r="D20" s="13" t="s">
        <v>152</v>
      </c>
      <c r="E20" s="13" t="s">
        <v>21</v>
      </c>
      <c r="F20" s="13" t="s">
        <v>60</v>
      </c>
      <c r="G20" s="13" t="s">
        <v>153</v>
      </c>
      <c r="H20" s="13" t="s">
        <v>36</v>
      </c>
      <c r="I20" s="13" t="s">
        <v>154</v>
      </c>
      <c r="J20" s="13" t="s">
        <v>67</v>
      </c>
      <c r="K20" s="13" t="s">
        <v>39</v>
      </c>
      <c r="L20" s="15" t="s">
        <v>113</v>
      </c>
      <c r="M20" s="13" t="s">
        <v>155</v>
      </c>
      <c r="N20" s="16" t="s">
        <v>52</v>
      </c>
      <c r="O20" s="16" t="s">
        <v>61</v>
      </c>
      <c r="P20" s="16">
        <v>19.0</v>
      </c>
      <c r="Q20" s="17"/>
    </row>
    <row r="21" ht="22.5" customHeight="1">
      <c r="A21" s="13" t="s">
        <v>156</v>
      </c>
      <c r="B21" s="13" t="s">
        <v>157</v>
      </c>
      <c r="C21" s="13" t="s">
        <v>31</v>
      </c>
      <c r="D21" s="13" t="s">
        <v>158</v>
      </c>
      <c r="E21" s="13" t="s">
        <v>47</v>
      </c>
      <c r="F21" s="13" t="s">
        <v>48</v>
      </c>
      <c r="G21" s="13" t="s">
        <v>159</v>
      </c>
      <c r="H21" s="13" t="s">
        <v>36</v>
      </c>
      <c r="I21" s="13" t="s">
        <v>66</v>
      </c>
      <c r="J21" s="13" t="s">
        <v>67</v>
      </c>
      <c r="K21" s="13" t="s">
        <v>39</v>
      </c>
      <c r="L21" s="15" t="s">
        <v>113</v>
      </c>
      <c r="M21" s="13" t="s">
        <v>160</v>
      </c>
      <c r="N21" s="16" t="s">
        <v>60</v>
      </c>
      <c r="O21" s="16" t="s">
        <v>43</v>
      </c>
      <c r="P21" s="16">
        <v>16.0</v>
      </c>
      <c r="Q21" s="17"/>
    </row>
    <row r="22" ht="22.5" customHeight="1">
      <c r="A22" s="13" t="s">
        <v>161</v>
      </c>
      <c r="B22" s="13" t="s">
        <v>55</v>
      </c>
      <c r="C22" s="14" t="s">
        <v>28</v>
      </c>
      <c r="D22" s="13" t="s">
        <v>162</v>
      </c>
      <c r="E22" s="13" t="s">
        <v>103</v>
      </c>
      <c r="F22" s="13" t="s">
        <v>30</v>
      </c>
      <c r="G22" s="13" t="s">
        <v>163</v>
      </c>
      <c r="H22" s="13" t="s">
        <v>78</v>
      </c>
      <c r="I22" s="13" t="s">
        <v>164</v>
      </c>
      <c r="J22" s="13" t="s">
        <v>26</v>
      </c>
      <c r="K22" s="13" t="s">
        <v>39</v>
      </c>
      <c r="L22" s="15" t="s">
        <v>113</v>
      </c>
      <c r="M22" s="13" t="s">
        <v>165</v>
      </c>
      <c r="N22" s="16" t="s">
        <v>52</v>
      </c>
      <c r="O22" s="16" t="s">
        <v>61</v>
      </c>
      <c r="P22" s="16">
        <v>20.0</v>
      </c>
      <c r="Q22" s="17"/>
    </row>
    <row r="23" ht="22.5" customHeight="1">
      <c r="A23" s="13" t="s">
        <v>166</v>
      </c>
      <c r="B23" s="13" t="s">
        <v>167</v>
      </c>
      <c r="C23" s="14" t="s">
        <v>18</v>
      </c>
      <c r="D23" s="13" t="s">
        <v>168</v>
      </c>
      <c r="E23" s="13" t="s">
        <v>34</v>
      </c>
      <c r="F23" s="13" t="s">
        <v>48</v>
      </c>
      <c r="G23" s="13" t="s">
        <v>169</v>
      </c>
      <c r="H23" s="13" t="s">
        <v>36</v>
      </c>
      <c r="I23" s="13" t="s">
        <v>170</v>
      </c>
      <c r="J23" s="13" t="s">
        <v>67</v>
      </c>
      <c r="K23" s="13" t="s">
        <v>27</v>
      </c>
      <c r="L23" s="15" t="s">
        <v>113</v>
      </c>
      <c r="M23" s="13" t="s">
        <v>171</v>
      </c>
      <c r="N23" s="16" t="s">
        <v>30</v>
      </c>
      <c r="O23" s="16" t="s">
        <v>43</v>
      </c>
      <c r="P23" s="16">
        <v>19.0</v>
      </c>
      <c r="Q23" s="17"/>
    </row>
    <row r="24" ht="22.5" customHeight="1">
      <c r="A24" s="13" t="s">
        <v>172</v>
      </c>
      <c r="B24" s="13" t="s">
        <v>173</v>
      </c>
      <c r="C24" s="14" t="s">
        <v>28</v>
      </c>
      <c r="D24" s="13" t="s">
        <v>174</v>
      </c>
      <c r="E24" s="13" t="s">
        <v>78</v>
      </c>
      <c r="F24" s="13" t="s">
        <v>30</v>
      </c>
      <c r="G24" s="13" t="s">
        <v>175</v>
      </c>
      <c r="H24" s="13" t="s">
        <v>24</v>
      </c>
      <c r="I24" s="13" t="s">
        <v>123</v>
      </c>
      <c r="J24" s="13" t="s">
        <v>26</v>
      </c>
      <c r="K24" s="13" t="s">
        <v>39</v>
      </c>
      <c r="L24" s="15" t="s">
        <v>28</v>
      </c>
      <c r="M24" s="13" t="s">
        <v>51</v>
      </c>
      <c r="N24" s="16" t="s">
        <v>52</v>
      </c>
      <c r="O24" s="16" t="s">
        <v>61</v>
      </c>
      <c r="P24" s="16">
        <v>18.0</v>
      </c>
      <c r="Q24" s="17"/>
    </row>
    <row r="25" ht="22.5" customHeight="1">
      <c r="A25" s="13" t="s">
        <v>176</v>
      </c>
      <c r="B25" s="13" t="s">
        <v>177</v>
      </c>
      <c r="C25" s="14" t="s">
        <v>28</v>
      </c>
      <c r="D25" s="13" t="s">
        <v>178</v>
      </c>
      <c r="E25" s="13" t="s">
        <v>21</v>
      </c>
      <c r="F25" s="13" t="s">
        <v>22</v>
      </c>
      <c r="G25" s="13" t="s">
        <v>179</v>
      </c>
      <c r="H25" s="13" t="s">
        <v>24</v>
      </c>
      <c r="I25" s="13" t="s">
        <v>180</v>
      </c>
      <c r="J25" s="13" t="s">
        <v>38</v>
      </c>
      <c r="K25" s="13" t="s">
        <v>50</v>
      </c>
      <c r="L25" s="15" t="s">
        <v>28</v>
      </c>
      <c r="M25" s="13" t="s">
        <v>181</v>
      </c>
      <c r="N25" s="16" t="s">
        <v>30</v>
      </c>
      <c r="O25" s="16" t="s">
        <v>43</v>
      </c>
      <c r="P25" s="16">
        <v>19.0</v>
      </c>
      <c r="Q25" s="17"/>
    </row>
    <row r="26" ht="22.5" customHeight="1">
      <c r="A26" s="13" t="s">
        <v>182</v>
      </c>
      <c r="B26" s="13" t="s">
        <v>183</v>
      </c>
      <c r="C26" s="14" t="s">
        <v>28</v>
      </c>
      <c r="D26" s="13" t="s">
        <v>184</v>
      </c>
      <c r="E26" s="13" t="s">
        <v>103</v>
      </c>
      <c r="F26" s="13" t="s">
        <v>60</v>
      </c>
      <c r="G26" s="13" t="s">
        <v>185</v>
      </c>
      <c r="H26" s="13" t="s">
        <v>122</v>
      </c>
      <c r="I26" s="13" t="s">
        <v>180</v>
      </c>
      <c r="J26" s="13" t="s">
        <v>38</v>
      </c>
      <c r="K26" s="13" t="s">
        <v>50</v>
      </c>
      <c r="L26" s="15" t="s">
        <v>113</v>
      </c>
      <c r="M26" s="13" t="s">
        <v>186</v>
      </c>
      <c r="N26" s="16" t="s">
        <v>30</v>
      </c>
      <c r="O26" s="16" t="s">
        <v>43</v>
      </c>
      <c r="P26" s="16">
        <v>19.0</v>
      </c>
      <c r="Q26" s="17"/>
    </row>
    <row r="27" ht="22.5" customHeight="1">
      <c r="A27" s="13" t="s">
        <v>187</v>
      </c>
      <c r="B27" s="13" t="s">
        <v>188</v>
      </c>
      <c r="C27" s="14" t="s">
        <v>18</v>
      </c>
      <c r="D27" s="13" t="s">
        <v>189</v>
      </c>
      <c r="E27" s="13" t="s">
        <v>21</v>
      </c>
      <c r="F27" s="13" t="s">
        <v>30</v>
      </c>
      <c r="G27" s="13" t="s">
        <v>190</v>
      </c>
      <c r="H27" s="13" t="s">
        <v>24</v>
      </c>
      <c r="I27" s="13" t="s">
        <v>25</v>
      </c>
      <c r="J27" s="13" t="s">
        <v>26</v>
      </c>
      <c r="K27" s="13" t="s">
        <v>50</v>
      </c>
      <c r="L27" s="15" t="s">
        <v>113</v>
      </c>
      <c r="M27" s="13" t="s">
        <v>191</v>
      </c>
      <c r="N27" s="16" t="s">
        <v>52</v>
      </c>
      <c r="O27" s="16" t="s">
        <v>61</v>
      </c>
      <c r="P27" s="16">
        <v>23.0</v>
      </c>
      <c r="Q27" s="17"/>
    </row>
    <row r="28" ht="22.5" customHeight="1">
      <c r="A28" s="13" t="s">
        <v>192</v>
      </c>
      <c r="B28" s="13" t="s">
        <v>193</v>
      </c>
      <c r="C28" s="13" t="s">
        <v>31</v>
      </c>
      <c r="D28" s="13" t="s">
        <v>64</v>
      </c>
      <c r="E28" s="13" t="s">
        <v>34</v>
      </c>
      <c r="F28" s="13" t="s">
        <v>30</v>
      </c>
      <c r="G28" s="13" t="s">
        <v>194</v>
      </c>
      <c r="H28" s="13" t="s">
        <v>36</v>
      </c>
      <c r="I28" s="13" t="s">
        <v>195</v>
      </c>
      <c r="J28" s="13" t="s">
        <v>38</v>
      </c>
      <c r="K28" s="13" t="s">
        <v>39</v>
      </c>
      <c r="L28" s="15" t="s">
        <v>113</v>
      </c>
      <c r="M28" s="13" t="s">
        <v>196</v>
      </c>
      <c r="N28" s="16" t="s">
        <v>30</v>
      </c>
      <c r="O28" s="16" t="s">
        <v>43</v>
      </c>
      <c r="P28" s="16">
        <v>17.0</v>
      </c>
      <c r="Q28" s="17"/>
    </row>
    <row r="29" ht="22.5" customHeight="1">
      <c r="A29" s="13" t="s">
        <v>197</v>
      </c>
      <c r="B29" s="13" t="s">
        <v>151</v>
      </c>
      <c r="C29" s="14" t="s">
        <v>28</v>
      </c>
      <c r="D29" s="13" t="s">
        <v>64</v>
      </c>
      <c r="E29" s="13" t="s">
        <v>21</v>
      </c>
      <c r="F29" s="13" t="s">
        <v>30</v>
      </c>
      <c r="G29" s="13" t="s">
        <v>198</v>
      </c>
      <c r="H29" s="13" t="s">
        <v>24</v>
      </c>
      <c r="I29" s="13" t="s">
        <v>99</v>
      </c>
      <c r="J29" s="13" t="s">
        <v>67</v>
      </c>
      <c r="K29" s="13" t="s">
        <v>39</v>
      </c>
      <c r="L29" s="15" t="s">
        <v>113</v>
      </c>
      <c r="M29" s="13" t="s">
        <v>133</v>
      </c>
      <c r="N29" s="16" t="s">
        <v>30</v>
      </c>
      <c r="O29" s="16" t="s">
        <v>61</v>
      </c>
      <c r="P29" s="16">
        <v>19.0</v>
      </c>
      <c r="Q29" s="17"/>
    </row>
    <row r="30" ht="22.5" customHeight="1">
      <c r="A30" s="13" t="s">
        <v>199</v>
      </c>
      <c r="B30" s="13" t="s">
        <v>102</v>
      </c>
      <c r="C30" s="13" t="s">
        <v>31</v>
      </c>
      <c r="D30" s="13" t="s">
        <v>33</v>
      </c>
      <c r="E30" s="13" t="s">
        <v>200</v>
      </c>
      <c r="F30" s="13" t="s">
        <v>60</v>
      </c>
      <c r="G30" s="13" t="s">
        <v>201</v>
      </c>
      <c r="H30" s="13" t="s">
        <v>122</v>
      </c>
      <c r="I30" s="13" t="s">
        <v>141</v>
      </c>
      <c r="J30" s="13" t="s">
        <v>38</v>
      </c>
      <c r="K30" s="13" t="s">
        <v>27</v>
      </c>
      <c r="L30" s="15" t="s">
        <v>113</v>
      </c>
      <c r="M30" s="13" t="s">
        <v>68</v>
      </c>
      <c r="N30" s="16" t="s">
        <v>60</v>
      </c>
      <c r="O30" s="16" t="s">
        <v>61</v>
      </c>
      <c r="P30" s="16">
        <v>17.0</v>
      </c>
      <c r="Q30" s="17"/>
    </row>
    <row r="31" ht="22.5" customHeight="1">
      <c r="A31" s="13" t="s">
        <v>91</v>
      </c>
      <c r="B31" s="13" t="s">
        <v>55</v>
      </c>
      <c r="C31" s="14" t="s">
        <v>28</v>
      </c>
      <c r="D31" s="13" t="s">
        <v>202</v>
      </c>
      <c r="E31" s="13" t="s">
        <v>21</v>
      </c>
      <c r="F31" s="13" t="s">
        <v>30</v>
      </c>
      <c r="G31" s="13" t="s">
        <v>203</v>
      </c>
      <c r="H31" s="13" t="s">
        <v>78</v>
      </c>
      <c r="I31" s="13" t="s">
        <v>204</v>
      </c>
      <c r="J31" s="13" t="s">
        <v>67</v>
      </c>
      <c r="K31" s="13" t="s">
        <v>39</v>
      </c>
      <c r="L31" s="15" t="s">
        <v>113</v>
      </c>
      <c r="M31" s="13" t="s">
        <v>205</v>
      </c>
      <c r="N31" s="16" t="s">
        <v>30</v>
      </c>
      <c r="O31" s="16" t="s">
        <v>61</v>
      </c>
      <c r="P31" s="16">
        <v>19.0</v>
      </c>
      <c r="Q31" s="17"/>
    </row>
    <row r="32" ht="22.5" customHeight="1">
      <c r="A32" s="13" t="s">
        <v>206</v>
      </c>
      <c r="B32" s="13" t="s">
        <v>207</v>
      </c>
      <c r="C32" s="13" t="s">
        <v>54</v>
      </c>
      <c r="D32" s="13" t="s">
        <v>174</v>
      </c>
      <c r="E32" s="13" t="s">
        <v>21</v>
      </c>
      <c r="F32" s="13" t="s">
        <v>60</v>
      </c>
      <c r="G32" s="13" t="s">
        <v>208</v>
      </c>
      <c r="H32" s="13" t="s">
        <v>122</v>
      </c>
      <c r="I32" s="13" t="s">
        <v>112</v>
      </c>
      <c r="J32" s="13" t="s">
        <v>58</v>
      </c>
      <c r="K32" s="13" t="s">
        <v>27</v>
      </c>
      <c r="L32" s="16" t="s">
        <v>40</v>
      </c>
      <c r="M32" s="13" t="s">
        <v>209</v>
      </c>
      <c r="N32" s="16" t="s">
        <v>60</v>
      </c>
      <c r="O32" s="16" t="s">
        <v>61</v>
      </c>
      <c r="P32" s="16">
        <v>18.0</v>
      </c>
    </row>
    <row r="33" ht="22.5" customHeight="1">
      <c r="A33" s="13" t="s">
        <v>210</v>
      </c>
      <c r="B33" s="13" t="s">
        <v>211</v>
      </c>
      <c r="C33" s="13" t="s">
        <v>31</v>
      </c>
      <c r="D33" s="13" t="s">
        <v>64</v>
      </c>
      <c r="E33" s="13" t="s">
        <v>21</v>
      </c>
      <c r="F33" s="13" t="s">
        <v>48</v>
      </c>
      <c r="G33" s="13" t="s">
        <v>104</v>
      </c>
      <c r="H33" s="13" t="s">
        <v>105</v>
      </c>
      <c r="I33" s="13" t="s">
        <v>112</v>
      </c>
      <c r="J33" s="13" t="s">
        <v>38</v>
      </c>
      <c r="K33" s="13" t="s">
        <v>27</v>
      </c>
      <c r="L33" s="16">
        <v>0.0</v>
      </c>
      <c r="M33" s="13" t="s">
        <v>212</v>
      </c>
      <c r="N33" s="16" t="s">
        <v>42</v>
      </c>
      <c r="O33" s="16" t="s">
        <v>43</v>
      </c>
      <c r="P33" s="16">
        <v>19.0</v>
      </c>
    </row>
    <row r="34" ht="22.5" customHeight="1">
      <c r="A34" s="13" t="s">
        <v>213</v>
      </c>
      <c r="B34" s="13" t="s">
        <v>214</v>
      </c>
      <c r="C34" s="13" t="s">
        <v>31</v>
      </c>
      <c r="D34" s="13" t="s">
        <v>189</v>
      </c>
      <c r="E34" s="13" t="s">
        <v>103</v>
      </c>
      <c r="F34" s="13" t="s">
        <v>30</v>
      </c>
      <c r="G34" s="13" t="s">
        <v>215</v>
      </c>
      <c r="H34" s="13" t="s">
        <v>24</v>
      </c>
      <c r="I34" s="13" t="s">
        <v>170</v>
      </c>
      <c r="J34" s="13" t="s">
        <v>26</v>
      </c>
      <c r="K34" s="13" t="s">
        <v>107</v>
      </c>
      <c r="L34" s="16">
        <v>0.0</v>
      </c>
      <c r="M34" s="13" t="s">
        <v>216</v>
      </c>
      <c r="N34" s="16" t="s">
        <v>30</v>
      </c>
      <c r="O34" s="16" t="s">
        <v>61</v>
      </c>
      <c r="P34" s="16">
        <v>17.0</v>
      </c>
    </row>
    <row r="35" ht="22.5" customHeight="1">
      <c r="A35" s="13" t="s">
        <v>217</v>
      </c>
      <c r="B35" s="13" t="s">
        <v>151</v>
      </c>
      <c r="C35" s="13" t="s">
        <v>31</v>
      </c>
      <c r="D35" s="13" t="s">
        <v>218</v>
      </c>
      <c r="E35" s="13" t="s">
        <v>34</v>
      </c>
      <c r="F35" s="13" t="s">
        <v>30</v>
      </c>
      <c r="G35" s="13" t="s">
        <v>219</v>
      </c>
      <c r="H35" s="13" t="s">
        <v>122</v>
      </c>
      <c r="I35" s="13" t="s">
        <v>123</v>
      </c>
      <c r="J35" s="13" t="s">
        <v>26</v>
      </c>
      <c r="K35" s="13" t="s">
        <v>50</v>
      </c>
      <c r="L35" s="16" t="s">
        <v>40</v>
      </c>
      <c r="M35" s="13" t="s">
        <v>133</v>
      </c>
      <c r="N35" s="16" t="s">
        <v>42</v>
      </c>
      <c r="O35" s="16" t="s">
        <v>43</v>
      </c>
      <c r="P35" s="16">
        <v>18.0</v>
      </c>
    </row>
    <row r="36" ht="22.5" customHeight="1">
      <c r="A36" s="13" t="s">
        <v>220</v>
      </c>
      <c r="B36" s="13" t="s">
        <v>221</v>
      </c>
      <c r="C36" s="13" t="s">
        <v>31</v>
      </c>
      <c r="D36" s="13" t="s">
        <v>33</v>
      </c>
      <c r="E36" s="13" t="s">
        <v>200</v>
      </c>
      <c r="F36" s="13" t="s">
        <v>30</v>
      </c>
      <c r="G36" s="13" t="s">
        <v>222</v>
      </c>
      <c r="H36" s="13" t="s">
        <v>24</v>
      </c>
      <c r="I36" s="13" t="s">
        <v>123</v>
      </c>
      <c r="J36" s="13" t="s">
        <v>26</v>
      </c>
      <c r="K36" s="13" t="s">
        <v>50</v>
      </c>
      <c r="L36" s="16" t="s">
        <v>40</v>
      </c>
      <c r="M36" s="13" t="s">
        <v>223</v>
      </c>
      <c r="N36" s="16" t="s">
        <v>60</v>
      </c>
      <c r="O36" s="16" t="s">
        <v>43</v>
      </c>
      <c r="P36" s="16">
        <v>21.0</v>
      </c>
    </row>
    <row r="37" ht="22.5" customHeight="1">
      <c r="A37" s="13" t="s">
        <v>224</v>
      </c>
      <c r="B37" s="13" t="s">
        <v>225</v>
      </c>
      <c r="C37" s="13" t="s">
        <v>54</v>
      </c>
      <c r="D37" s="13" t="s">
        <v>20</v>
      </c>
      <c r="E37" s="13" t="s">
        <v>21</v>
      </c>
      <c r="F37" s="13" t="s">
        <v>30</v>
      </c>
      <c r="G37" s="13" t="s">
        <v>226</v>
      </c>
      <c r="H37" s="13" t="s">
        <v>24</v>
      </c>
      <c r="I37" s="13" t="s">
        <v>227</v>
      </c>
      <c r="J37" s="13" t="s">
        <v>67</v>
      </c>
      <c r="K37" s="13" t="s">
        <v>27</v>
      </c>
      <c r="L37" s="15" t="s">
        <v>113</v>
      </c>
      <c r="M37" s="13" t="s">
        <v>171</v>
      </c>
      <c r="N37" s="16" t="s">
        <v>52</v>
      </c>
      <c r="O37" s="16" t="s">
        <v>61</v>
      </c>
      <c r="P37" s="16">
        <v>18.0</v>
      </c>
    </row>
    <row r="38" ht="22.5" customHeight="1">
      <c r="B38" s="13" t="s">
        <v>228</v>
      </c>
      <c r="C38" s="13" t="s">
        <v>31</v>
      </c>
      <c r="D38" s="13" t="s">
        <v>229</v>
      </c>
      <c r="E38" s="13" t="s">
        <v>78</v>
      </c>
      <c r="F38" s="13" t="s">
        <v>48</v>
      </c>
      <c r="G38" s="13" t="s">
        <v>230</v>
      </c>
      <c r="H38" s="13" t="s">
        <v>122</v>
      </c>
      <c r="I38" s="13" t="s">
        <v>231</v>
      </c>
      <c r="J38" s="13" t="s">
        <v>232</v>
      </c>
      <c r="K38" s="13" t="s">
        <v>107</v>
      </c>
      <c r="L38" s="15" t="s">
        <v>113</v>
      </c>
      <c r="M38" s="13" t="s">
        <v>108</v>
      </c>
      <c r="N38" s="16" t="s">
        <v>60</v>
      </c>
      <c r="O38" s="16" t="s">
        <v>61</v>
      </c>
      <c r="P38" s="16">
        <v>19.0</v>
      </c>
    </row>
    <row r="39" ht="22.5" customHeight="1">
      <c r="A39" s="13" t="s">
        <v>233</v>
      </c>
      <c r="B39" s="13" t="s">
        <v>151</v>
      </c>
      <c r="C39" s="14" t="s">
        <v>28</v>
      </c>
      <c r="D39" s="13" t="s">
        <v>33</v>
      </c>
      <c r="E39" s="13" t="s">
        <v>78</v>
      </c>
      <c r="F39" s="13" t="s">
        <v>30</v>
      </c>
      <c r="G39" s="13" t="s">
        <v>57</v>
      </c>
      <c r="H39" s="13" t="s">
        <v>24</v>
      </c>
      <c r="I39" s="13" t="s">
        <v>37</v>
      </c>
      <c r="J39" s="13" t="s">
        <v>26</v>
      </c>
      <c r="K39" s="13" t="s">
        <v>39</v>
      </c>
      <c r="L39" s="15" t="s">
        <v>28</v>
      </c>
      <c r="M39" s="13" t="s">
        <v>234</v>
      </c>
      <c r="N39" s="16" t="s">
        <v>52</v>
      </c>
      <c r="O39" s="16" t="s">
        <v>61</v>
      </c>
      <c r="P39" s="16">
        <v>19.0</v>
      </c>
    </row>
    <row r="40" ht="22.5" customHeight="1">
      <c r="A40" s="13" t="s">
        <v>235</v>
      </c>
      <c r="B40" s="13" t="s">
        <v>236</v>
      </c>
      <c r="C40" s="13" t="s">
        <v>31</v>
      </c>
      <c r="D40" s="13" t="s">
        <v>237</v>
      </c>
      <c r="E40" s="13" t="s">
        <v>21</v>
      </c>
      <c r="F40" s="13" t="s">
        <v>60</v>
      </c>
      <c r="G40" s="13" t="s">
        <v>238</v>
      </c>
      <c r="H40" s="13" t="s">
        <v>122</v>
      </c>
      <c r="I40" s="13" t="s">
        <v>239</v>
      </c>
      <c r="J40" s="13" t="s">
        <v>67</v>
      </c>
      <c r="K40" s="13" t="s">
        <v>27</v>
      </c>
      <c r="L40" s="16">
        <v>0.0</v>
      </c>
      <c r="M40" s="13" t="s">
        <v>124</v>
      </c>
      <c r="N40" s="16" t="s">
        <v>52</v>
      </c>
      <c r="O40" s="16" t="s">
        <v>61</v>
      </c>
      <c r="P40" s="16">
        <v>19.0</v>
      </c>
    </row>
    <row r="41" ht="22.5" customHeight="1">
      <c r="A41" s="13" t="s">
        <v>240</v>
      </c>
      <c r="B41" s="13" t="s">
        <v>55</v>
      </c>
      <c r="C41" s="14" t="s">
        <v>28</v>
      </c>
      <c r="D41" s="13" t="s">
        <v>33</v>
      </c>
      <c r="E41" s="13" t="s">
        <v>200</v>
      </c>
      <c r="F41" s="13" t="s">
        <v>60</v>
      </c>
      <c r="G41" s="13" t="s">
        <v>241</v>
      </c>
      <c r="H41" s="13" t="s">
        <v>36</v>
      </c>
      <c r="I41" s="13" t="s">
        <v>37</v>
      </c>
      <c r="J41" s="13" t="s">
        <v>26</v>
      </c>
      <c r="K41" s="13" t="s">
        <v>50</v>
      </c>
      <c r="L41" s="16">
        <v>0.0</v>
      </c>
      <c r="M41" s="13" t="s">
        <v>124</v>
      </c>
      <c r="N41" s="16" t="s">
        <v>30</v>
      </c>
      <c r="O41" s="16" t="s">
        <v>61</v>
      </c>
      <c r="P41" s="16">
        <v>20.0</v>
      </c>
    </row>
    <row r="42" ht="22.5" customHeight="1">
      <c r="B42" s="13" t="s">
        <v>207</v>
      </c>
      <c r="C42" s="14" t="s">
        <v>28</v>
      </c>
      <c r="D42" s="13" t="s">
        <v>64</v>
      </c>
      <c r="E42" s="13" t="s">
        <v>34</v>
      </c>
      <c r="F42" s="13" t="s">
        <v>60</v>
      </c>
      <c r="G42" s="13" t="s">
        <v>145</v>
      </c>
      <c r="H42" s="13" t="s">
        <v>24</v>
      </c>
      <c r="I42" s="13" t="s">
        <v>146</v>
      </c>
      <c r="J42" s="13" t="s">
        <v>67</v>
      </c>
      <c r="K42" s="13" t="s">
        <v>27</v>
      </c>
      <c r="L42" s="15" t="s">
        <v>113</v>
      </c>
      <c r="M42" s="13" t="s">
        <v>242</v>
      </c>
      <c r="N42" s="16" t="s">
        <v>52</v>
      </c>
      <c r="O42" s="16" t="s">
        <v>61</v>
      </c>
      <c r="P42" s="16">
        <v>18.0</v>
      </c>
    </row>
    <row r="43" ht="22.5" customHeight="1">
      <c r="A43" s="13" t="s">
        <v>243</v>
      </c>
      <c r="B43" s="13" t="s">
        <v>244</v>
      </c>
      <c r="C43" s="13" t="s">
        <v>54</v>
      </c>
      <c r="D43" s="13" t="s">
        <v>245</v>
      </c>
      <c r="E43" s="13" t="s">
        <v>103</v>
      </c>
      <c r="F43" s="13" t="s">
        <v>60</v>
      </c>
      <c r="G43" s="13" t="s">
        <v>246</v>
      </c>
      <c r="H43" s="13" t="s">
        <v>36</v>
      </c>
      <c r="I43" s="13" t="s">
        <v>247</v>
      </c>
      <c r="J43" s="13" t="s">
        <v>26</v>
      </c>
      <c r="K43" s="13" t="s">
        <v>50</v>
      </c>
      <c r="L43" s="16" t="s">
        <v>40</v>
      </c>
      <c r="M43" s="13" t="s">
        <v>248</v>
      </c>
      <c r="N43" s="16" t="s">
        <v>60</v>
      </c>
      <c r="O43" s="16" t="s">
        <v>43</v>
      </c>
      <c r="P43" s="16">
        <v>18.0</v>
      </c>
    </row>
    <row r="44" ht="22.5" customHeight="1">
      <c r="A44" s="13" t="s">
        <v>249</v>
      </c>
      <c r="B44" s="13" t="s">
        <v>250</v>
      </c>
      <c r="C44" s="14" t="s">
        <v>28</v>
      </c>
      <c r="D44" s="13" t="s">
        <v>33</v>
      </c>
      <c r="E44" s="13" t="s">
        <v>103</v>
      </c>
      <c r="F44" s="13" t="s">
        <v>30</v>
      </c>
      <c r="G44" s="13" t="s">
        <v>251</v>
      </c>
      <c r="H44" s="13" t="s">
        <v>24</v>
      </c>
      <c r="I44" s="13" t="s">
        <v>37</v>
      </c>
      <c r="J44" s="13" t="s">
        <v>26</v>
      </c>
      <c r="K44" s="13" t="s">
        <v>39</v>
      </c>
      <c r="L44" s="15" t="s">
        <v>113</v>
      </c>
      <c r="M44" s="13" t="s">
        <v>252</v>
      </c>
      <c r="N44" s="16" t="s">
        <v>30</v>
      </c>
      <c r="O44" s="16" t="s">
        <v>61</v>
      </c>
      <c r="P44" s="16">
        <v>19.0</v>
      </c>
    </row>
    <row r="45" ht="22.5" customHeight="1">
      <c r="A45" s="13" t="s">
        <v>253</v>
      </c>
      <c r="B45" s="13" t="s">
        <v>254</v>
      </c>
      <c r="C45" s="14" t="s">
        <v>28</v>
      </c>
      <c r="D45" s="13" t="s">
        <v>255</v>
      </c>
      <c r="E45" s="13" t="s">
        <v>78</v>
      </c>
      <c r="F45" s="13" t="s">
        <v>30</v>
      </c>
      <c r="G45" s="13" t="s">
        <v>256</v>
      </c>
      <c r="H45" s="13" t="s">
        <v>24</v>
      </c>
      <c r="I45" s="13" t="s">
        <v>257</v>
      </c>
      <c r="J45" s="13" t="s">
        <v>67</v>
      </c>
      <c r="K45" s="13" t="s">
        <v>50</v>
      </c>
      <c r="L45" s="15" t="s">
        <v>28</v>
      </c>
      <c r="M45" s="13" t="s">
        <v>258</v>
      </c>
      <c r="N45" s="16" t="s">
        <v>52</v>
      </c>
      <c r="O45" s="16" t="s">
        <v>43</v>
      </c>
      <c r="P45" s="16">
        <v>20.0</v>
      </c>
    </row>
    <row r="46" ht="22.5" customHeight="1">
      <c r="A46" s="13" t="s">
        <v>259</v>
      </c>
      <c r="B46" s="13" t="s">
        <v>260</v>
      </c>
      <c r="C46" s="13" t="s">
        <v>31</v>
      </c>
      <c r="D46" s="13" t="s">
        <v>33</v>
      </c>
      <c r="E46" s="13" t="s">
        <v>21</v>
      </c>
      <c r="F46" s="13" t="s">
        <v>30</v>
      </c>
      <c r="G46" s="13" t="s">
        <v>261</v>
      </c>
      <c r="H46" s="13" t="s">
        <v>24</v>
      </c>
      <c r="I46" s="13" t="s">
        <v>247</v>
      </c>
      <c r="J46" s="13" t="s">
        <v>26</v>
      </c>
      <c r="K46" s="13" t="s">
        <v>27</v>
      </c>
      <c r="L46" s="16">
        <v>0.0</v>
      </c>
      <c r="M46" s="13" t="s">
        <v>262</v>
      </c>
      <c r="N46" s="16" t="s">
        <v>60</v>
      </c>
      <c r="O46" s="16" t="s">
        <v>61</v>
      </c>
      <c r="P46" s="16">
        <v>17.0</v>
      </c>
    </row>
    <row r="47" ht="22.5" customHeight="1">
      <c r="A47" s="13" t="s">
        <v>263</v>
      </c>
      <c r="B47" s="13" t="s">
        <v>264</v>
      </c>
      <c r="C47" s="14" t="s">
        <v>18</v>
      </c>
      <c r="D47" s="13" t="s">
        <v>265</v>
      </c>
      <c r="E47" s="13" t="s">
        <v>21</v>
      </c>
      <c r="F47" s="13" t="s">
        <v>48</v>
      </c>
      <c r="G47" s="13" t="s">
        <v>35</v>
      </c>
      <c r="H47" s="13" t="s">
        <v>36</v>
      </c>
      <c r="I47" s="13" t="s">
        <v>227</v>
      </c>
      <c r="J47" s="13" t="s">
        <v>67</v>
      </c>
      <c r="K47" s="13" t="s">
        <v>39</v>
      </c>
      <c r="L47" s="16">
        <v>0.0</v>
      </c>
      <c r="M47" s="13" t="s">
        <v>266</v>
      </c>
      <c r="N47" s="16" t="s">
        <v>42</v>
      </c>
      <c r="O47" s="16" t="s">
        <v>43</v>
      </c>
      <c r="P47" s="16">
        <v>19.0</v>
      </c>
    </row>
    <row r="48" ht="22.5" customHeight="1">
      <c r="A48" s="13" t="s">
        <v>267</v>
      </c>
      <c r="B48" s="13" t="s">
        <v>268</v>
      </c>
      <c r="C48" s="13" t="s">
        <v>31</v>
      </c>
      <c r="D48" s="13" t="s">
        <v>64</v>
      </c>
      <c r="E48" s="13" t="s">
        <v>34</v>
      </c>
      <c r="F48" s="13" t="s">
        <v>30</v>
      </c>
      <c r="G48" s="13" t="s">
        <v>269</v>
      </c>
      <c r="H48" s="13" t="s">
        <v>24</v>
      </c>
      <c r="I48" s="13" t="s">
        <v>95</v>
      </c>
      <c r="J48" s="13" t="s">
        <v>26</v>
      </c>
      <c r="K48" s="13" t="s">
        <v>39</v>
      </c>
      <c r="L48" s="15" t="s">
        <v>113</v>
      </c>
      <c r="M48" s="13" t="s">
        <v>270</v>
      </c>
      <c r="N48" s="16" t="s">
        <v>30</v>
      </c>
      <c r="O48" s="16" t="s">
        <v>61</v>
      </c>
      <c r="P48" s="16">
        <v>19.0</v>
      </c>
    </row>
    <row r="49" ht="22.5" customHeight="1">
      <c r="A49" s="13" t="s">
        <v>271</v>
      </c>
      <c r="B49" s="13" t="s">
        <v>151</v>
      </c>
      <c r="C49" s="13" t="s">
        <v>31</v>
      </c>
      <c r="D49" s="13" t="s">
        <v>33</v>
      </c>
      <c r="E49" s="13" t="s">
        <v>200</v>
      </c>
      <c r="F49" s="13" t="s">
        <v>30</v>
      </c>
      <c r="G49" s="13" t="s">
        <v>272</v>
      </c>
      <c r="H49" s="13" t="s">
        <v>24</v>
      </c>
      <c r="I49" s="13" t="s">
        <v>37</v>
      </c>
      <c r="J49" s="13" t="s">
        <v>67</v>
      </c>
      <c r="K49" s="13" t="s">
        <v>27</v>
      </c>
      <c r="L49" s="16">
        <v>0.0</v>
      </c>
      <c r="M49" s="13" t="s">
        <v>124</v>
      </c>
      <c r="N49" s="16" t="s">
        <v>30</v>
      </c>
      <c r="O49" s="16" t="s">
        <v>61</v>
      </c>
      <c r="P49" s="16">
        <v>19.0</v>
      </c>
    </row>
    <row r="50" ht="22.5" customHeight="1">
      <c r="A50" s="13" t="s">
        <v>273</v>
      </c>
      <c r="B50" s="13" t="s">
        <v>151</v>
      </c>
      <c r="C50" s="13" t="s">
        <v>31</v>
      </c>
      <c r="D50" s="13" t="s">
        <v>64</v>
      </c>
      <c r="E50" s="13" t="s">
        <v>78</v>
      </c>
      <c r="F50" s="13" t="s">
        <v>60</v>
      </c>
      <c r="G50" s="13" t="s">
        <v>274</v>
      </c>
      <c r="H50" s="13" t="s">
        <v>36</v>
      </c>
      <c r="I50" s="13" t="s">
        <v>112</v>
      </c>
      <c r="J50" s="13" t="s">
        <v>26</v>
      </c>
      <c r="K50" s="13" t="s">
        <v>39</v>
      </c>
      <c r="L50" s="15" t="s">
        <v>28</v>
      </c>
      <c r="M50" s="13" t="s">
        <v>275</v>
      </c>
      <c r="N50" s="16" t="s">
        <v>30</v>
      </c>
      <c r="O50" s="16" t="s">
        <v>43</v>
      </c>
      <c r="P50" s="16">
        <v>18.0</v>
      </c>
    </row>
    <row r="51" ht="22.5" customHeight="1">
      <c r="A51" s="13" t="s">
        <v>276</v>
      </c>
      <c r="B51" s="13" t="s">
        <v>277</v>
      </c>
      <c r="C51" s="14" t="s">
        <v>28</v>
      </c>
      <c r="D51" s="13" t="s">
        <v>64</v>
      </c>
      <c r="E51" s="13" t="s">
        <v>103</v>
      </c>
      <c r="F51" s="13" t="s">
        <v>30</v>
      </c>
      <c r="G51" s="13" t="s">
        <v>278</v>
      </c>
      <c r="H51" s="13" t="s">
        <v>24</v>
      </c>
      <c r="I51" s="13" t="s">
        <v>279</v>
      </c>
      <c r="J51" s="13" t="s">
        <v>26</v>
      </c>
      <c r="K51" s="13" t="s">
        <v>50</v>
      </c>
      <c r="L51" s="15" t="s">
        <v>113</v>
      </c>
      <c r="M51" s="13" t="s">
        <v>280</v>
      </c>
      <c r="N51" s="16" t="s">
        <v>42</v>
      </c>
      <c r="O51" s="16" t="s">
        <v>61</v>
      </c>
      <c r="P51" s="16">
        <v>19.0</v>
      </c>
    </row>
    <row r="52" ht="22.5" customHeight="1">
      <c r="A52" s="13" t="s">
        <v>281</v>
      </c>
      <c r="B52" s="13" t="s">
        <v>282</v>
      </c>
      <c r="C52" s="14" t="s">
        <v>28</v>
      </c>
      <c r="D52" s="13" t="s">
        <v>202</v>
      </c>
      <c r="E52" s="13" t="s">
        <v>34</v>
      </c>
      <c r="F52" s="13" t="s">
        <v>30</v>
      </c>
      <c r="G52" s="13" t="s">
        <v>283</v>
      </c>
      <c r="H52" s="13" t="s">
        <v>24</v>
      </c>
      <c r="I52" s="13" t="s">
        <v>284</v>
      </c>
      <c r="J52" s="13" t="s">
        <v>26</v>
      </c>
      <c r="K52" s="13" t="s">
        <v>50</v>
      </c>
      <c r="L52" s="15" t="s">
        <v>113</v>
      </c>
      <c r="M52" s="13" t="s">
        <v>285</v>
      </c>
      <c r="N52" s="16" t="s">
        <v>52</v>
      </c>
      <c r="O52" s="16" t="s">
        <v>43</v>
      </c>
      <c r="P52" s="16">
        <v>19.0</v>
      </c>
    </row>
    <row r="53" ht="22.5" customHeight="1">
      <c r="A53" s="13" t="s">
        <v>286</v>
      </c>
      <c r="B53" s="13" t="s">
        <v>287</v>
      </c>
      <c r="C53" s="13" t="s">
        <v>31</v>
      </c>
      <c r="D53" s="13" t="s">
        <v>202</v>
      </c>
      <c r="E53" s="13" t="s">
        <v>21</v>
      </c>
      <c r="F53" s="13" t="s">
        <v>48</v>
      </c>
      <c r="G53" s="13" t="s">
        <v>288</v>
      </c>
      <c r="H53" s="13" t="s">
        <v>122</v>
      </c>
      <c r="I53" s="13" t="s">
        <v>112</v>
      </c>
      <c r="J53" s="13" t="s">
        <v>232</v>
      </c>
      <c r="K53" s="13" t="s">
        <v>27</v>
      </c>
      <c r="L53" s="15" t="s">
        <v>113</v>
      </c>
      <c r="M53" s="13" t="s">
        <v>84</v>
      </c>
      <c r="N53" s="16" t="s">
        <v>30</v>
      </c>
      <c r="O53" s="16" t="s">
        <v>43</v>
      </c>
      <c r="P53" s="16">
        <v>19.0</v>
      </c>
    </row>
    <row r="54" ht="22.5" customHeight="1">
      <c r="B54" s="13" t="s">
        <v>151</v>
      </c>
      <c r="C54" s="14" t="s">
        <v>28</v>
      </c>
      <c r="D54" s="13" t="s">
        <v>64</v>
      </c>
      <c r="E54" s="13" t="s">
        <v>103</v>
      </c>
      <c r="F54" s="13" t="s">
        <v>48</v>
      </c>
      <c r="G54" s="13" t="s">
        <v>289</v>
      </c>
      <c r="H54" s="13" t="s">
        <v>122</v>
      </c>
      <c r="I54" s="13" t="s">
        <v>95</v>
      </c>
      <c r="J54" s="13" t="s">
        <v>67</v>
      </c>
      <c r="K54" s="13" t="s">
        <v>50</v>
      </c>
      <c r="L54" s="15" t="s">
        <v>113</v>
      </c>
      <c r="M54" s="13" t="s">
        <v>186</v>
      </c>
      <c r="N54" s="16" t="s">
        <v>30</v>
      </c>
      <c r="O54" s="16" t="s">
        <v>61</v>
      </c>
      <c r="P54" s="16">
        <v>19.0</v>
      </c>
    </row>
    <row r="55" ht="22.5" customHeight="1">
      <c r="A55" s="13" t="s">
        <v>290</v>
      </c>
      <c r="B55" s="13" t="s">
        <v>291</v>
      </c>
      <c r="C55" s="14" t="s">
        <v>28</v>
      </c>
      <c r="D55" s="13" t="s">
        <v>202</v>
      </c>
      <c r="E55" s="13" t="s">
        <v>21</v>
      </c>
      <c r="F55" s="13" t="s">
        <v>30</v>
      </c>
      <c r="G55" s="13" t="s">
        <v>292</v>
      </c>
      <c r="H55" s="13" t="s">
        <v>122</v>
      </c>
      <c r="I55" s="13" t="s">
        <v>112</v>
      </c>
      <c r="J55" s="13" t="s">
        <v>38</v>
      </c>
      <c r="K55" s="13" t="s">
        <v>50</v>
      </c>
      <c r="L55" s="15" t="s">
        <v>113</v>
      </c>
      <c r="M55" s="13" t="s">
        <v>165</v>
      </c>
      <c r="N55" s="16" t="s">
        <v>60</v>
      </c>
      <c r="O55" s="16" t="s">
        <v>43</v>
      </c>
      <c r="P55" s="16">
        <v>20.0</v>
      </c>
    </row>
    <row r="56" ht="22.5" customHeight="1">
      <c r="A56" s="13" t="s">
        <v>293</v>
      </c>
      <c r="B56" s="13" t="s">
        <v>151</v>
      </c>
      <c r="C56" s="13" t="s">
        <v>31</v>
      </c>
      <c r="D56" s="13" t="s">
        <v>158</v>
      </c>
      <c r="E56" s="13" t="s">
        <v>78</v>
      </c>
      <c r="F56" s="13" t="s">
        <v>60</v>
      </c>
      <c r="G56" s="13" t="s">
        <v>294</v>
      </c>
      <c r="H56" s="13" t="s">
        <v>36</v>
      </c>
      <c r="I56" s="13" t="s">
        <v>141</v>
      </c>
      <c r="J56" s="13" t="s">
        <v>26</v>
      </c>
      <c r="K56" s="13" t="s">
        <v>50</v>
      </c>
      <c r="L56" s="15" t="s">
        <v>113</v>
      </c>
      <c r="M56" s="13" t="s">
        <v>275</v>
      </c>
      <c r="N56" s="16" t="s">
        <v>60</v>
      </c>
      <c r="O56" s="16" t="s">
        <v>61</v>
      </c>
      <c r="P56" s="16">
        <v>18.0</v>
      </c>
    </row>
    <row r="57" ht="22.5" customHeight="1">
      <c r="A57" s="13" t="s">
        <v>295</v>
      </c>
      <c r="B57" s="13" t="s">
        <v>296</v>
      </c>
      <c r="C57" s="14" t="s">
        <v>28</v>
      </c>
      <c r="D57" s="13" t="s">
        <v>237</v>
      </c>
      <c r="E57" s="13" t="s">
        <v>34</v>
      </c>
      <c r="F57" s="13" t="s">
        <v>30</v>
      </c>
      <c r="G57" s="13" t="s">
        <v>297</v>
      </c>
      <c r="H57" s="13" t="s">
        <v>24</v>
      </c>
      <c r="I57" s="13" t="s">
        <v>298</v>
      </c>
      <c r="J57" s="13" t="s">
        <v>67</v>
      </c>
      <c r="K57" s="13" t="s">
        <v>27</v>
      </c>
      <c r="L57" s="15" t="s">
        <v>113</v>
      </c>
      <c r="M57" s="13" t="s">
        <v>299</v>
      </c>
      <c r="N57" s="16" t="s">
        <v>42</v>
      </c>
      <c r="O57" s="16" t="s">
        <v>61</v>
      </c>
      <c r="P57" s="16">
        <v>18.0</v>
      </c>
    </row>
    <row r="58" ht="22.5" customHeight="1">
      <c r="A58" s="13" t="s">
        <v>300</v>
      </c>
      <c r="B58" s="13" t="s">
        <v>236</v>
      </c>
      <c r="C58" s="14" t="s">
        <v>28</v>
      </c>
      <c r="D58" s="13" t="s">
        <v>202</v>
      </c>
      <c r="E58" s="13" t="s">
        <v>21</v>
      </c>
      <c r="F58" s="13" t="s">
        <v>60</v>
      </c>
      <c r="G58" s="13" t="s">
        <v>301</v>
      </c>
      <c r="H58" s="13" t="s">
        <v>36</v>
      </c>
      <c r="I58" s="13" t="s">
        <v>37</v>
      </c>
      <c r="J58" s="13" t="s">
        <v>67</v>
      </c>
      <c r="K58" s="13" t="s">
        <v>27</v>
      </c>
      <c r="L58" s="15" t="s">
        <v>28</v>
      </c>
      <c r="M58" s="13" t="s">
        <v>302</v>
      </c>
      <c r="N58" s="16" t="s">
        <v>60</v>
      </c>
      <c r="O58" s="16" t="s">
        <v>43</v>
      </c>
      <c r="P58" s="16">
        <v>19.0</v>
      </c>
    </row>
    <row r="59" ht="22.5" customHeight="1">
      <c r="A59" s="13" t="s">
        <v>303</v>
      </c>
      <c r="B59" s="13" t="s">
        <v>55</v>
      </c>
      <c r="C59" s="13" t="s">
        <v>31</v>
      </c>
      <c r="D59" s="13" t="s">
        <v>64</v>
      </c>
      <c r="E59" s="13" t="s">
        <v>78</v>
      </c>
      <c r="F59" s="13" t="s">
        <v>30</v>
      </c>
      <c r="G59" s="13" t="s">
        <v>304</v>
      </c>
      <c r="H59" s="13" t="s">
        <v>122</v>
      </c>
      <c r="I59" s="13" t="s">
        <v>141</v>
      </c>
      <c r="J59" s="13" t="s">
        <v>38</v>
      </c>
      <c r="K59" s="13" t="s">
        <v>27</v>
      </c>
      <c r="L59" s="15" t="s">
        <v>28</v>
      </c>
      <c r="M59" s="13" t="s">
        <v>305</v>
      </c>
      <c r="N59" s="16" t="s">
        <v>42</v>
      </c>
      <c r="O59" s="16" t="s">
        <v>61</v>
      </c>
      <c r="P59" s="16">
        <v>18.0</v>
      </c>
    </row>
    <row r="60" ht="22.5" customHeight="1">
      <c r="A60" s="13" t="s">
        <v>306</v>
      </c>
      <c r="B60" s="13" t="s">
        <v>211</v>
      </c>
      <c r="C60" s="13" t="s">
        <v>31</v>
      </c>
      <c r="D60" s="13" t="s">
        <v>202</v>
      </c>
      <c r="E60" s="13" t="s">
        <v>21</v>
      </c>
      <c r="F60" s="13" t="s">
        <v>60</v>
      </c>
      <c r="G60" s="13" t="s">
        <v>307</v>
      </c>
      <c r="H60" s="13" t="s">
        <v>78</v>
      </c>
      <c r="I60" s="13" t="s">
        <v>112</v>
      </c>
      <c r="J60" s="13" t="s">
        <v>26</v>
      </c>
      <c r="K60" s="13" t="s">
        <v>39</v>
      </c>
      <c r="L60" s="15" t="s">
        <v>28</v>
      </c>
      <c r="M60" s="13" t="s">
        <v>308</v>
      </c>
      <c r="N60" s="16" t="s">
        <v>60</v>
      </c>
      <c r="O60" s="16" t="s">
        <v>43</v>
      </c>
      <c r="P60" s="16">
        <v>19.0</v>
      </c>
    </row>
    <row r="61" ht="22.5" customHeight="1">
      <c r="A61" s="13" t="s">
        <v>309</v>
      </c>
      <c r="B61" s="13" t="s">
        <v>310</v>
      </c>
      <c r="C61" s="13" t="s">
        <v>31</v>
      </c>
      <c r="D61" s="13" t="s">
        <v>237</v>
      </c>
      <c r="E61" s="13" t="s">
        <v>34</v>
      </c>
      <c r="F61" s="13" t="s">
        <v>30</v>
      </c>
      <c r="G61" s="13" t="s">
        <v>269</v>
      </c>
      <c r="H61" s="13" t="s">
        <v>24</v>
      </c>
      <c r="I61" s="13" t="s">
        <v>257</v>
      </c>
      <c r="J61" s="13" t="s">
        <v>26</v>
      </c>
      <c r="K61" s="13" t="s">
        <v>50</v>
      </c>
      <c r="L61" s="16">
        <v>0.0</v>
      </c>
      <c r="M61" s="13" t="s">
        <v>142</v>
      </c>
      <c r="N61" s="16" t="s">
        <v>30</v>
      </c>
      <c r="O61" s="16" t="s">
        <v>61</v>
      </c>
      <c r="P61" s="16">
        <v>20.0</v>
      </c>
    </row>
    <row r="62" ht="22.5" customHeight="1">
      <c r="A62" s="13" t="s">
        <v>311</v>
      </c>
      <c r="B62" s="13" t="s">
        <v>312</v>
      </c>
      <c r="C62" s="13" t="s">
        <v>31</v>
      </c>
      <c r="D62" s="13" t="s">
        <v>33</v>
      </c>
      <c r="E62" s="13" t="s">
        <v>103</v>
      </c>
      <c r="F62" s="13" t="s">
        <v>30</v>
      </c>
      <c r="G62" s="13" t="s">
        <v>313</v>
      </c>
      <c r="H62" s="13" t="s">
        <v>36</v>
      </c>
      <c r="I62" s="13" t="s">
        <v>37</v>
      </c>
      <c r="J62" s="13" t="s">
        <v>38</v>
      </c>
      <c r="K62" s="13" t="s">
        <v>50</v>
      </c>
      <c r="L62" s="15" t="s">
        <v>28</v>
      </c>
      <c r="M62" s="13" t="s">
        <v>314</v>
      </c>
      <c r="N62" s="16" t="s">
        <v>52</v>
      </c>
      <c r="O62" s="16" t="s">
        <v>43</v>
      </c>
      <c r="P62" s="16">
        <v>20.0</v>
      </c>
    </row>
    <row r="63" ht="22.5" customHeight="1">
      <c r="A63" s="13" t="s">
        <v>315</v>
      </c>
      <c r="B63" s="13" t="s">
        <v>316</v>
      </c>
      <c r="C63" s="14" t="s">
        <v>28</v>
      </c>
      <c r="D63" s="13" t="s">
        <v>33</v>
      </c>
      <c r="E63" s="13" t="s">
        <v>34</v>
      </c>
      <c r="F63" s="13" t="s">
        <v>60</v>
      </c>
      <c r="G63" s="13" t="s">
        <v>317</v>
      </c>
      <c r="H63" s="13" t="s">
        <v>78</v>
      </c>
      <c r="I63" s="13" t="s">
        <v>318</v>
      </c>
      <c r="J63" s="13" t="s">
        <v>38</v>
      </c>
      <c r="K63" s="13" t="s">
        <v>39</v>
      </c>
      <c r="L63" s="15" t="s">
        <v>113</v>
      </c>
      <c r="M63" s="13" t="s">
        <v>319</v>
      </c>
      <c r="N63" s="16" t="s">
        <v>42</v>
      </c>
      <c r="O63" s="16" t="s">
        <v>43</v>
      </c>
      <c r="P63" s="16">
        <v>18.0</v>
      </c>
    </row>
    <row r="64" ht="22.5" customHeight="1">
      <c r="A64" s="13" t="s">
        <v>320</v>
      </c>
      <c r="B64" s="13" t="s">
        <v>260</v>
      </c>
      <c r="C64" s="13" t="s">
        <v>31</v>
      </c>
      <c r="D64" s="13" t="s">
        <v>255</v>
      </c>
      <c r="E64" s="13" t="s">
        <v>21</v>
      </c>
      <c r="F64" s="13" t="s">
        <v>48</v>
      </c>
      <c r="G64" s="13" t="s">
        <v>321</v>
      </c>
      <c r="H64" s="13" t="s">
        <v>78</v>
      </c>
      <c r="I64" s="13" t="s">
        <v>322</v>
      </c>
      <c r="J64" s="13" t="s">
        <v>26</v>
      </c>
      <c r="K64" s="13" t="s">
        <v>50</v>
      </c>
      <c r="L64" s="15" t="s">
        <v>113</v>
      </c>
      <c r="M64" s="13" t="s">
        <v>323</v>
      </c>
      <c r="N64" s="16" t="s">
        <v>52</v>
      </c>
      <c r="O64" s="16" t="s">
        <v>43</v>
      </c>
      <c r="P64" s="16">
        <v>22.0</v>
      </c>
    </row>
    <row r="65" ht="22.5" customHeight="1">
      <c r="A65" s="13" t="s">
        <v>324</v>
      </c>
      <c r="B65" s="13" t="s">
        <v>325</v>
      </c>
      <c r="C65" s="13" t="s">
        <v>31</v>
      </c>
      <c r="D65" s="13" t="s">
        <v>64</v>
      </c>
      <c r="E65" s="13" t="s">
        <v>34</v>
      </c>
      <c r="F65" s="13" t="s">
        <v>22</v>
      </c>
      <c r="G65" s="13" t="s">
        <v>326</v>
      </c>
      <c r="H65" s="13" t="s">
        <v>36</v>
      </c>
      <c r="I65" s="13" t="s">
        <v>37</v>
      </c>
      <c r="J65" s="13" t="s">
        <v>67</v>
      </c>
      <c r="K65" s="13" t="s">
        <v>27</v>
      </c>
      <c r="L65" s="15" t="s">
        <v>113</v>
      </c>
      <c r="M65" s="13" t="s">
        <v>124</v>
      </c>
      <c r="N65" s="16" t="s">
        <v>30</v>
      </c>
      <c r="O65" s="16" t="s">
        <v>61</v>
      </c>
      <c r="P65" s="16">
        <v>19.0</v>
      </c>
    </row>
    <row r="66" ht="22.5" customHeight="1">
      <c r="B66" s="13" t="s">
        <v>327</v>
      </c>
      <c r="C66" s="13" t="s">
        <v>31</v>
      </c>
      <c r="D66" s="13" t="s">
        <v>245</v>
      </c>
      <c r="E66" s="13" t="s">
        <v>21</v>
      </c>
      <c r="F66" s="13" t="s">
        <v>30</v>
      </c>
      <c r="G66" s="13" t="s">
        <v>169</v>
      </c>
      <c r="H66" s="13" t="s">
        <v>78</v>
      </c>
      <c r="I66" s="13" t="s">
        <v>328</v>
      </c>
      <c r="J66" s="13" t="s">
        <v>26</v>
      </c>
      <c r="K66" s="13" t="s">
        <v>107</v>
      </c>
      <c r="L66" s="15" t="s">
        <v>113</v>
      </c>
      <c r="M66" s="13" t="s">
        <v>329</v>
      </c>
      <c r="N66" s="16" t="s">
        <v>30</v>
      </c>
      <c r="O66" s="16" t="s">
        <v>43</v>
      </c>
      <c r="P66" s="16">
        <v>20.0</v>
      </c>
    </row>
    <row r="67" ht="22.5" customHeight="1">
      <c r="A67" s="13" t="s">
        <v>330</v>
      </c>
      <c r="B67" s="13" t="s">
        <v>331</v>
      </c>
      <c r="C67" s="13" t="s">
        <v>54</v>
      </c>
      <c r="D67" s="13" t="s">
        <v>265</v>
      </c>
      <c r="E67" s="13" t="s">
        <v>34</v>
      </c>
      <c r="F67" s="13" t="s">
        <v>60</v>
      </c>
      <c r="G67" s="13" t="s">
        <v>332</v>
      </c>
      <c r="H67" s="13" t="s">
        <v>36</v>
      </c>
      <c r="I67" s="13" t="s">
        <v>333</v>
      </c>
      <c r="J67" s="13" t="s">
        <v>26</v>
      </c>
      <c r="K67" s="13" t="s">
        <v>39</v>
      </c>
      <c r="L67" s="15" t="s">
        <v>28</v>
      </c>
      <c r="M67" s="13" t="s">
        <v>334</v>
      </c>
      <c r="N67" s="16" t="s">
        <v>52</v>
      </c>
      <c r="O67" s="16" t="s">
        <v>43</v>
      </c>
      <c r="P67" s="16">
        <v>20.0</v>
      </c>
    </row>
    <row r="68" ht="22.5" customHeight="1">
      <c r="A68" s="13" t="s">
        <v>335</v>
      </c>
      <c r="B68" s="13" t="s">
        <v>102</v>
      </c>
      <c r="C68" s="13" t="s">
        <v>31</v>
      </c>
      <c r="D68" s="13" t="s">
        <v>33</v>
      </c>
      <c r="E68" s="13" t="s">
        <v>200</v>
      </c>
      <c r="F68" s="13" t="s">
        <v>60</v>
      </c>
      <c r="G68" s="13" t="s">
        <v>336</v>
      </c>
      <c r="H68" s="13" t="s">
        <v>24</v>
      </c>
      <c r="I68" s="13" t="s">
        <v>337</v>
      </c>
      <c r="J68" s="13" t="s">
        <v>26</v>
      </c>
      <c r="K68" s="13" t="s">
        <v>27</v>
      </c>
      <c r="L68" s="16">
        <v>0.0</v>
      </c>
      <c r="M68" s="13" t="s">
        <v>338</v>
      </c>
      <c r="N68" s="16" t="s">
        <v>60</v>
      </c>
      <c r="O68" s="16" t="s">
        <v>43</v>
      </c>
      <c r="P68" s="16">
        <v>19.0</v>
      </c>
    </row>
    <row r="69" ht="22.5" customHeight="1">
      <c r="A69" s="13" t="s">
        <v>335</v>
      </c>
      <c r="B69" s="13" t="s">
        <v>102</v>
      </c>
      <c r="C69" s="13" t="s">
        <v>31</v>
      </c>
      <c r="D69" s="13" t="s">
        <v>33</v>
      </c>
      <c r="E69" s="13" t="s">
        <v>200</v>
      </c>
      <c r="F69" s="13" t="s">
        <v>60</v>
      </c>
      <c r="G69" s="13" t="s">
        <v>336</v>
      </c>
      <c r="H69" s="13" t="s">
        <v>24</v>
      </c>
      <c r="I69" s="13" t="s">
        <v>279</v>
      </c>
      <c r="J69" s="13" t="s">
        <v>26</v>
      </c>
      <c r="K69" s="13" t="s">
        <v>27</v>
      </c>
      <c r="L69" s="16">
        <v>0.0</v>
      </c>
      <c r="M69" s="13" t="s">
        <v>339</v>
      </c>
      <c r="N69" s="16" t="s">
        <v>60</v>
      </c>
      <c r="O69" s="16" t="s">
        <v>43</v>
      </c>
      <c r="P69" s="16">
        <v>19.0</v>
      </c>
    </row>
    <row r="70" ht="22.5" customHeight="1">
      <c r="A70" s="13" t="s">
        <v>340</v>
      </c>
      <c r="B70" s="13" t="s">
        <v>207</v>
      </c>
      <c r="C70" s="14" t="s">
        <v>28</v>
      </c>
      <c r="D70" s="13" t="s">
        <v>341</v>
      </c>
      <c r="E70" s="13" t="s">
        <v>73</v>
      </c>
      <c r="F70" s="13" t="s">
        <v>30</v>
      </c>
      <c r="G70" s="13" t="s">
        <v>342</v>
      </c>
      <c r="H70" s="13" t="s">
        <v>24</v>
      </c>
      <c r="I70" s="13" t="s">
        <v>284</v>
      </c>
      <c r="J70" s="13" t="s">
        <v>26</v>
      </c>
      <c r="K70" s="13" t="s">
        <v>39</v>
      </c>
      <c r="L70" s="15" t="s">
        <v>113</v>
      </c>
      <c r="M70" s="13" t="s">
        <v>343</v>
      </c>
      <c r="N70" s="16" t="s">
        <v>60</v>
      </c>
      <c r="O70" s="16" t="s">
        <v>61</v>
      </c>
      <c r="P70" s="16">
        <v>20.0</v>
      </c>
    </row>
    <row r="71" ht="22.5" customHeight="1">
      <c r="A71" s="13" t="s">
        <v>344</v>
      </c>
      <c r="B71" s="13" t="s">
        <v>345</v>
      </c>
      <c r="C71" s="13" t="s">
        <v>31</v>
      </c>
      <c r="D71" s="13" t="s">
        <v>346</v>
      </c>
      <c r="E71" s="13" t="s">
        <v>103</v>
      </c>
      <c r="F71" s="13" t="s">
        <v>22</v>
      </c>
      <c r="G71" s="13" t="s">
        <v>347</v>
      </c>
      <c r="H71" s="13" t="s">
        <v>24</v>
      </c>
      <c r="I71" s="13" t="s">
        <v>112</v>
      </c>
      <c r="J71" s="13" t="s">
        <v>26</v>
      </c>
      <c r="K71" s="13" t="s">
        <v>50</v>
      </c>
      <c r="L71" s="15" t="s">
        <v>113</v>
      </c>
      <c r="M71" s="13" t="s">
        <v>348</v>
      </c>
      <c r="N71" s="16" t="s">
        <v>52</v>
      </c>
      <c r="O71" s="16" t="s">
        <v>61</v>
      </c>
      <c r="P71" s="16">
        <v>18.0</v>
      </c>
    </row>
    <row r="72" ht="22.5" customHeight="1">
      <c r="A72" s="13" t="s">
        <v>349</v>
      </c>
      <c r="B72" s="13" t="s">
        <v>277</v>
      </c>
      <c r="C72" s="14" t="s">
        <v>28</v>
      </c>
      <c r="D72" s="13" t="s">
        <v>152</v>
      </c>
      <c r="E72" s="13" t="s">
        <v>103</v>
      </c>
      <c r="F72" s="13" t="s">
        <v>22</v>
      </c>
      <c r="G72" s="13" t="s">
        <v>350</v>
      </c>
      <c r="H72" s="13" t="s">
        <v>122</v>
      </c>
      <c r="I72" s="13" t="s">
        <v>351</v>
      </c>
      <c r="J72" s="13" t="s">
        <v>67</v>
      </c>
      <c r="K72" s="13" t="s">
        <v>107</v>
      </c>
      <c r="L72" s="15" t="s">
        <v>28</v>
      </c>
      <c r="M72" s="13" t="s">
        <v>352</v>
      </c>
      <c r="N72" s="16" t="s">
        <v>30</v>
      </c>
      <c r="O72" s="16" t="s">
        <v>43</v>
      </c>
      <c r="P72" s="16">
        <v>18.0</v>
      </c>
    </row>
    <row r="73" ht="22.5" customHeight="1">
      <c r="A73" s="13" t="s">
        <v>353</v>
      </c>
      <c r="B73" s="13" t="s">
        <v>354</v>
      </c>
      <c r="C73" s="13" t="s">
        <v>54</v>
      </c>
      <c r="D73" s="13" t="s">
        <v>130</v>
      </c>
      <c r="E73" s="13" t="s">
        <v>21</v>
      </c>
      <c r="F73" s="13" t="s">
        <v>22</v>
      </c>
      <c r="G73" s="13" t="s">
        <v>355</v>
      </c>
      <c r="H73" s="13" t="s">
        <v>36</v>
      </c>
      <c r="I73" s="13" t="s">
        <v>356</v>
      </c>
      <c r="J73" s="13" t="s">
        <v>26</v>
      </c>
      <c r="K73" s="13" t="s">
        <v>39</v>
      </c>
      <c r="L73" s="15" t="s">
        <v>113</v>
      </c>
      <c r="M73" s="13" t="s">
        <v>234</v>
      </c>
      <c r="N73" s="16" t="s">
        <v>42</v>
      </c>
      <c r="O73" s="16" t="s">
        <v>43</v>
      </c>
      <c r="P73" s="16">
        <v>19.0</v>
      </c>
    </row>
    <row r="74" ht="22.5" customHeight="1">
      <c r="B74" s="13" t="s">
        <v>357</v>
      </c>
      <c r="C74" s="13" t="s">
        <v>31</v>
      </c>
      <c r="D74" s="13" t="s">
        <v>20</v>
      </c>
      <c r="E74" s="13" t="s">
        <v>21</v>
      </c>
      <c r="F74" s="13" t="s">
        <v>30</v>
      </c>
      <c r="G74" s="13" t="s">
        <v>358</v>
      </c>
      <c r="H74" s="13" t="s">
        <v>36</v>
      </c>
      <c r="I74" s="13" t="s">
        <v>25</v>
      </c>
      <c r="J74" s="13" t="s">
        <v>38</v>
      </c>
      <c r="K74" s="13" t="s">
        <v>27</v>
      </c>
      <c r="L74" s="16">
        <v>0.0</v>
      </c>
      <c r="M74" s="13" t="s">
        <v>359</v>
      </c>
      <c r="N74" s="16" t="s">
        <v>30</v>
      </c>
      <c r="O74" s="16" t="s">
        <v>61</v>
      </c>
      <c r="P74" s="16">
        <v>18.0</v>
      </c>
    </row>
    <row r="75" ht="22.5" customHeight="1">
      <c r="A75" s="13" t="s">
        <v>360</v>
      </c>
      <c r="B75" s="13" t="s">
        <v>361</v>
      </c>
      <c r="C75" s="13" t="s">
        <v>54</v>
      </c>
      <c r="D75" s="13" t="s">
        <v>33</v>
      </c>
      <c r="E75" s="13" t="s">
        <v>73</v>
      </c>
      <c r="F75" s="13" t="s">
        <v>30</v>
      </c>
      <c r="G75" s="13" t="s">
        <v>362</v>
      </c>
      <c r="H75" s="13" t="s">
        <v>122</v>
      </c>
      <c r="I75" s="13" t="s">
        <v>37</v>
      </c>
      <c r="J75" s="13" t="s">
        <v>26</v>
      </c>
      <c r="K75" s="13" t="s">
        <v>27</v>
      </c>
      <c r="L75" s="15" t="s">
        <v>113</v>
      </c>
      <c r="M75" s="13" t="s">
        <v>363</v>
      </c>
      <c r="N75" s="16" t="s">
        <v>60</v>
      </c>
      <c r="O75" s="16" t="s">
        <v>61</v>
      </c>
      <c r="P75" s="16">
        <v>19.0</v>
      </c>
    </row>
    <row r="76" ht="22.5" customHeight="1">
      <c r="A76" s="13" t="s">
        <v>364</v>
      </c>
      <c r="B76" s="13" t="s">
        <v>102</v>
      </c>
      <c r="C76" s="13" t="s">
        <v>31</v>
      </c>
      <c r="D76" s="13" t="s">
        <v>33</v>
      </c>
      <c r="E76" s="13" t="s">
        <v>21</v>
      </c>
      <c r="F76" s="13" t="s">
        <v>60</v>
      </c>
      <c r="G76" s="13" t="s">
        <v>203</v>
      </c>
      <c r="H76" s="13" t="s">
        <v>78</v>
      </c>
      <c r="I76" s="13" t="s">
        <v>141</v>
      </c>
      <c r="J76" s="13" t="s">
        <v>38</v>
      </c>
      <c r="K76" s="13" t="s">
        <v>27</v>
      </c>
      <c r="L76" s="15" t="s">
        <v>113</v>
      </c>
      <c r="M76" s="13" t="s">
        <v>262</v>
      </c>
      <c r="N76" s="16" t="s">
        <v>60</v>
      </c>
      <c r="O76" s="16" t="s">
        <v>43</v>
      </c>
      <c r="P76" s="16">
        <v>19.0</v>
      </c>
    </row>
    <row r="77" ht="22.5" customHeight="1">
      <c r="A77" s="13" t="s">
        <v>365</v>
      </c>
      <c r="B77" s="13" t="s">
        <v>102</v>
      </c>
      <c r="C77" s="13" t="s">
        <v>31</v>
      </c>
      <c r="D77" s="13" t="s">
        <v>33</v>
      </c>
      <c r="E77" s="13" t="s">
        <v>21</v>
      </c>
      <c r="F77" s="13" t="s">
        <v>30</v>
      </c>
      <c r="G77" s="13" t="s">
        <v>366</v>
      </c>
      <c r="H77" s="13" t="s">
        <v>78</v>
      </c>
      <c r="I77" s="13" t="s">
        <v>112</v>
      </c>
      <c r="J77" s="13" t="s">
        <v>26</v>
      </c>
      <c r="K77" s="13" t="s">
        <v>27</v>
      </c>
      <c r="L77" s="16" t="s">
        <v>40</v>
      </c>
      <c r="M77" s="13" t="s">
        <v>329</v>
      </c>
      <c r="N77" s="16" t="s">
        <v>30</v>
      </c>
      <c r="O77" s="16" t="s">
        <v>43</v>
      </c>
      <c r="P77" s="16">
        <v>21.0</v>
      </c>
    </row>
    <row r="78" ht="22.5" customHeight="1">
      <c r="A78" s="13" t="s">
        <v>367</v>
      </c>
      <c r="B78" s="13" t="s">
        <v>368</v>
      </c>
      <c r="C78" s="14" t="s">
        <v>28</v>
      </c>
      <c r="D78" s="13" t="s">
        <v>33</v>
      </c>
      <c r="E78" s="13" t="s">
        <v>21</v>
      </c>
      <c r="F78" s="13" t="s">
        <v>30</v>
      </c>
      <c r="G78" s="13" t="s">
        <v>369</v>
      </c>
      <c r="H78" s="13" t="s">
        <v>105</v>
      </c>
      <c r="I78" s="13" t="s">
        <v>370</v>
      </c>
      <c r="J78" s="13" t="s">
        <v>232</v>
      </c>
      <c r="K78" s="13" t="s">
        <v>39</v>
      </c>
      <c r="L78" s="16">
        <v>0.0</v>
      </c>
      <c r="M78" s="13" t="s">
        <v>262</v>
      </c>
      <c r="N78" s="16" t="s">
        <v>52</v>
      </c>
      <c r="O78" s="16" t="s">
        <v>43</v>
      </c>
      <c r="P78" s="16">
        <v>20.0</v>
      </c>
    </row>
    <row r="79" ht="22.5" customHeight="1">
      <c r="A79" s="13" t="s">
        <v>371</v>
      </c>
      <c r="B79" s="13" t="s">
        <v>372</v>
      </c>
      <c r="C79" s="13" t="s">
        <v>54</v>
      </c>
      <c r="D79" s="13" t="s">
        <v>202</v>
      </c>
      <c r="E79" s="13" t="s">
        <v>21</v>
      </c>
      <c r="F79" s="13" t="s">
        <v>60</v>
      </c>
      <c r="G79" s="13" t="s">
        <v>373</v>
      </c>
      <c r="H79" s="13" t="s">
        <v>24</v>
      </c>
      <c r="I79" s="13" t="s">
        <v>374</v>
      </c>
      <c r="J79" s="13" t="s">
        <v>26</v>
      </c>
      <c r="K79" s="13" t="s">
        <v>39</v>
      </c>
      <c r="L79" s="16" t="s">
        <v>40</v>
      </c>
      <c r="M79" s="13" t="s">
        <v>334</v>
      </c>
      <c r="N79" s="16" t="s">
        <v>52</v>
      </c>
      <c r="O79" s="16" t="s">
        <v>43</v>
      </c>
      <c r="P79" s="16">
        <v>21.0</v>
      </c>
    </row>
    <row r="80" ht="22.5" customHeight="1">
      <c r="A80" s="13" t="s">
        <v>375</v>
      </c>
      <c r="B80" s="13" t="s">
        <v>376</v>
      </c>
      <c r="C80" s="14" t="s">
        <v>28</v>
      </c>
      <c r="D80" s="13" t="s">
        <v>377</v>
      </c>
      <c r="E80" s="13" t="s">
        <v>34</v>
      </c>
      <c r="F80" s="13" t="s">
        <v>60</v>
      </c>
      <c r="G80" s="13" t="s">
        <v>378</v>
      </c>
      <c r="H80" s="13" t="s">
        <v>122</v>
      </c>
      <c r="I80" s="13" t="s">
        <v>112</v>
      </c>
      <c r="J80" s="13" t="s">
        <v>26</v>
      </c>
      <c r="K80" s="13" t="s">
        <v>27</v>
      </c>
      <c r="L80" s="15" t="s">
        <v>28</v>
      </c>
      <c r="M80" s="13" t="s">
        <v>379</v>
      </c>
      <c r="N80" s="16" t="s">
        <v>60</v>
      </c>
      <c r="O80" s="16" t="s">
        <v>61</v>
      </c>
      <c r="P80" s="16">
        <v>18.0</v>
      </c>
    </row>
    <row r="81" ht="22.5" customHeight="1">
      <c r="A81" s="13" t="s">
        <v>380</v>
      </c>
      <c r="B81" s="13" t="s">
        <v>381</v>
      </c>
      <c r="C81" s="13" t="s">
        <v>31</v>
      </c>
      <c r="D81" s="13" t="s">
        <v>64</v>
      </c>
      <c r="E81" s="13" t="s">
        <v>34</v>
      </c>
      <c r="F81" s="13" t="s">
        <v>30</v>
      </c>
      <c r="G81" s="13" t="s">
        <v>382</v>
      </c>
      <c r="H81" s="13" t="s">
        <v>36</v>
      </c>
      <c r="I81" s="13" t="s">
        <v>298</v>
      </c>
      <c r="J81" s="13" t="s">
        <v>58</v>
      </c>
      <c r="K81" s="13" t="s">
        <v>39</v>
      </c>
      <c r="L81" s="15" t="s">
        <v>113</v>
      </c>
      <c r="M81" s="13" t="s">
        <v>383</v>
      </c>
      <c r="N81" s="16" t="s">
        <v>30</v>
      </c>
      <c r="O81" s="16" t="s">
        <v>43</v>
      </c>
      <c r="P81" s="16">
        <v>20.0</v>
      </c>
    </row>
    <row r="82" ht="22.5" customHeight="1">
      <c r="A82" s="13" t="s">
        <v>384</v>
      </c>
      <c r="B82" s="13" t="s">
        <v>135</v>
      </c>
      <c r="C82" s="13" t="s">
        <v>31</v>
      </c>
      <c r="D82" s="13" t="s">
        <v>162</v>
      </c>
      <c r="E82" s="13" t="s">
        <v>34</v>
      </c>
      <c r="F82" s="13" t="s">
        <v>22</v>
      </c>
      <c r="G82" s="13" t="s">
        <v>203</v>
      </c>
      <c r="H82" s="13" t="s">
        <v>24</v>
      </c>
      <c r="I82" s="13" t="s">
        <v>37</v>
      </c>
      <c r="J82" s="13" t="s">
        <v>38</v>
      </c>
      <c r="K82" s="13" t="s">
        <v>27</v>
      </c>
      <c r="L82" s="15" t="s">
        <v>113</v>
      </c>
      <c r="M82" s="13" t="s">
        <v>329</v>
      </c>
      <c r="N82" s="16" t="s">
        <v>52</v>
      </c>
      <c r="O82" s="16" t="s">
        <v>43</v>
      </c>
      <c r="P82" s="16">
        <v>19.0</v>
      </c>
    </row>
    <row r="83" ht="22.5" customHeight="1">
      <c r="A83" s="13" t="s">
        <v>385</v>
      </c>
      <c r="B83" s="13" t="s">
        <v>260</v>
      </c>
      <c r="C83" s="13" t="s">
        <v>31</v>
      </c>
      <c r="D83" s="13" t="s">
        <v>33</v>
      </c>
      <c r="E83" s="13" t="s">
        <v>21</v>
      </c>
      <c r="F83" s="13" t="s">
        <v>30</v>
      </c>
      <c r="G83" s="13" t="s">
        <v>386</v>
      </c>
      <c r="H83" s="13" t="s">
        <v>24</v>
      </c>
      <c r="I83" s="13" t="s">
        <v>180</v>
      </c>
      <c r="J83" s="13" t="s">
        <v>38</v>
      </c>
      <c r="K83" s="13" t="s">
        <v>27</v>
      </c>
      <c r="L83" s="13">
        <v>0.0</v>
      </c>
      <c r="M83" s="13" t="s">
        <v>329</v>
      </c>
      <c r="N83" s="13" t="s">
        <v>30</v>
      </c>
      <c r="O83" s="13" t="s">
        <v>43</v>
      </c>
      <c r="P83" s="13">
        <v>22.0</v>
      </c>
    </row>
    <row r="84" ht="22.5" customHeight="1">
      <c r="A84" s="13" t="s">
        <v>387</v>
      </c>
      <c r="B84" s="13" t="s">
        <v>214</v>
      </c>
      <c r="C84" s="13" t="s">
        <v>54</v>
      </c>
      <c r="D84" s="13" t="s">
        <v>388</v>
      </c>
      <c r="E84" s="13" t="s">
        <v>78</v>
      </c>
      <c r="F84" s="13" t="s">
        <v>22</v>
      </c>
      <c r="G84" s="13" t="s">
        <v>241</v>
      </c>
      <c r="H84" s="13" t="s">
        <v>122</v>
      </c>
      <c r="I84" s="13" t="s">
        <v>318</v>
      </c>
      <c r="J84" s="13" t="s">
        <v>67</v>
      </c>
      <c r="K84" s="13" t="s">
        <v>39</v>
      </c>
      <c r="L84" s="14" t="s">
        <v>28</v>
      </c>
      <c r="M84" s="13" t="s">
        <v>191</v>
      </c>
      <c r="N84" s="13" t="s">
        <v>30</v>
      </c>
      <c r="O84" s="13" t="s">
        <v>61</v>
      </c>
      <c r="P84" s="13">
        <v>19.0</v>
      </c>
    </row>
    <row r="85" ht="22.5" customHeight="1">
      <c r="A85" s="13" t="s">
        <v>389</v>
      </c>
      <c r="B85" s="13" t="s">
        <v>310</v>
      </c>
      <c r="C85" s="13" t="s">
        <v>54</v>
      </c>
      <c r="D85" s="13" t="s">
        <v>33</v>
      </c>
      <c r="E85" s="13" t="s">
        <v>200</v>
      </c>
      <c r="F85" s="13" t="s">
        <v>60</v>
      </c>
      <c r="G85" s="13" t="s">
        <v>169</v>
      </c>
      <c r="H85" s="13" t="s">
        <v>78</v>
      </c>
      <c r="I85" s="13" t="s">
        <v>204</v>
      </c>
      <c r="J85" s="13" t="s">
        <v>38</v>
      </c>
      <c r="K85" s="13" t="s">
        <v>27</v>
      </c>
      <c r="L85" s="13" t="s">
        <v>40</v>
      </c>
      <c r="M85" s="13" t="s">
        <v>165</v>
      </c>
      <c r="N85" s="13" t="s">
        <v>42</v>
      </c>
      <c r="O85" s="13" t="s">
        <v>43</v>
      </c>
      <c r="P85" s="13">
        <v>19.0</v>
      </c>
    </row>
    <row r="86" ht="22.5" customHeight="1">
      <c r="A86" s="13" t="s">
        <v>390</v>
      </c>
      <c r="B86" s="13" t="s">
        <v>391</v>
      </c>
      <c r="C86" s="14" t="s">
        <v>28</v>
      </c>
      <c r="D86" s="13" t="s">
        <v>237</v>
      </c>
      <c r="E86" s="13" t="s">
        <v>21</v>
      </c>
      <c r="F86" s="13" t="s">
        <v>30</v>
      </c>
      <c r="G86" s="13" t="s">
        <v>392</v>
      </c>
      <c r="H86" s="13" t="s">
        <v>24</v>
      </c>
      <c r="I86" s="13" t="s">
        <v>393</v>
      </c>
      <c r="J86" s="13" t="s">
        <v>26</v>
      </c>
      <c r="K86" s="13" t="s">
        <v>27</v>
      </c>
      <c r="L86" s="13">
        <v>0.0</v>
      </c>
      <c r="M86" s="13" t="s">
        <v>124</v>
      </c>
      <c r="N86" s="13" t="s">
        <v>60</v>
      </c>
      <c r="O86" s="13" t="s">
        <v>43</v>
      </c>
      <c r="P86" s="13">
        <v>20.0</v>
      </c>
    </row>
    <row r="87" ht="22.5" customHeight="1">
      <c r="A87" s="13" t="s">
        <v>394</v>
      </c>
      <c r="B87" s="13" t="s">
        <v>395</v>
      </c>
      <c r="C87" s="13" t="s">
        <v>31</v>
      </c>
      <c r="D87" s="13" t="s">
        <v>20</v>
      </c>
      <c r="E87" s="13" t="s">
        <v>21</v>
      </c>
      <c r="F87" s="13" t="s">
        <v>30</v>
      </c>
      <c r="G87" s="13" t="s">
        <v>355</v>
      </c>
      <c r="H87" s="13" t="s">
        <v>36</v>
      </c>
      <c r="I87" s="13" t="s">
        <v>396</v>
      </c>
      <c r="J87" s="13" t="s">
        <v>38</v>
      </c>
      <c r="K87" s="13" t="s">
        <v>107</v>
      </c>
      <c r="L87" s="13">
        <v>0.0</v>
      </c>
      <c r="M87" s="13" t="s">
        <v>266</v>
      </c>
      <c r="N87" s="13" t="s">
        <v>30</v>
      </c>
      <c r="O87" s="13" t="s">
        <v>397</v>
      </c>
      <c r="P87" s="13">
        <v>19.0</v>
      </c>
    </row>
    <row r="88" ht="22.5" customHeight="1">
      <c r="A88" s="13" t="s">
        <v>398</v>
      </c>
      <c r="B88" s="13" t="s">
        <v>399</v>
      </c>
      <c r="C88" s="14" t="s">
        <v>18</v>
      </c>
      <c r="D88" s="13" t="s">
        <v>400</v>
      </c>
      <c r="E88" s="13" t="s">
        <v>34</v>
      </c>
      <c r="F88" s="13" t="s">
        <v>30</v>
      </c>
      <c r="G88" s="13" t="s">
        <v>401</v>
      </c>
      <c r="H88" s="13" t="s">
        <v>24</v>
      </c>
      <c r="I88" s="13" t="s">
        <v>257</v>
      </c>
      <c r="J88" s="13" t="s">
        <v>26</v>
      </c>
      <c r="K88" s="13" t="s">
        <v>50</v>
      </c>
      <c r="L88" s="14" t="s">
        <v>113</v>
      </c>
      <c r="M88" s="13" t="s">
        <v>402</v>
      </c>
      <c r="N88" s="13" t="s">
        <v>30</v>
      </c>
      <c r="O88" s="13" t="s">
        <v>43</v>
      </c>
      <c r="P88" s="13">
        <v>20.0</v>
      </c>
    </row>
    <row r="89" ht="22.5" customHeight="1">
      <c r="A89" s="13" t="s">
        <v>403</v>
      </c>
      <c r="B89" s="13" t="s">
        <v>144</v>
      </c>
      <c r="C89" s="13" t="s">
        <v>54</v>
      </c>
      <c r="D89" s="13" t="s">
        <v>33</v>
      </c>
      <c r="E89" s="13" t="s">
        <v>21</v>
      </c>
      <c r="F89" s="13" t="s">
        <v>22</v>
      </c>
      <c r="G89" s="13" t="s">
        <v>203</v>
      </c>
      <c r="H89" s="13" t="s">
        <v>36</v>
      </c>
      <c r="I89" s="13" t="s">
        <v>106</v>
      </c>
      <c r="J89" s="13" t="s">
        <v>67</v>
      </c>
      <c r="K89" s="13" t="s">
        <v>27</v>
      </c>
      <c r="L89" s="14" t="s">
        <v>28</v>
      </c>
      <c r="M89" s="13" t="s">
        <v>329</v>
      </c>
      <c r="N89" s="13" t="s">
        <v>30</v>
      </c>
      <c r="O89" s="13" t="s">
        <v>397</v>
      </c>
      <c r="P89" s="13">
        <v>24.0</v>
      </c>
    </row>
    <row r="90" ht="22.5" customHeight="1">
      <c r="B90" s="13" t="s">
        <v>404</v>
      </c>
      <c r="C90" s="13" t="s">
        <v>31</v>
      </c>
      <c r="D90" s="13" t="s">
        <v>158</v>
      </c>
      <c r="E90" s="13" t="s">
        <v>103</v>
      </c>
      <c r="F90" s="13" t="s">
        <v>60</v>
      </c>
      <c r="G90" s="13" t="s">
        <v>405</v>
      </c>
      <c r="H90" s="13" t="s">
        <v>105</v>
      </c>
      <c r="I90" s="13" t="s">
        <v>204</v>
      </c>
      <c r="J90" s="13" t="s">
        <v>38</v>
      </c>
      <c r="K90" s="13" t="s">
        <v>39</v>
      </c>
      <c r="L90" s="14" t="s">
        <v>113</v>
      </c>
      <c r="M90" s="13" t="s">
        <v>406</v>
      </c>
      <c r="N90" s="13" t="s">
        <v>30</v>
      </c>
      <c r="O90" s="13" t="s">
        <v>61</v>
      </c>
      <c r="P90" s="13">
        <v>19.0</v>
      </c>
    </row>
    <row r="91" ht="22.5" customHeight="1">
      <c r="A91" s="13" t="s">
        <v>407</v>
      </c>
      <c r="B91" s="13" t="s">
        <v>408</v>
      </c>
      <c r="C91" s="14" t="s">
        <v>18</v>
      </c>
      <c r="D91" s="13" t="s">
        <v>20</v>
      </c>
      <c r="E91" s="13" t="s">
        <v>34</v>
      </c>
      <c r="F91" s="13" t="s">
        <v>60</v>
      </c>
      <c r="G91" s="13" t="s">
        <v>409</v>
      </c>
      <c r="H91" s="13" t="s">
        <v>24</v>
      </c>
      <c r="I91" s="13" t="s">
        <v>37</v>
      </c>
      <c r="J91" s="13" t="s">
        <v>58</v>
      </c>
      <c r="K91" s="13" t="s">
        <v>50</v>
      </c>
      <c r="L91" s="14" t="s">
        <v>113</v>
      </c>
      <c r="M91" s="13" t="s">
        <v>216</v>
      </c>
      <c r="N91" s="13" t="s">
        <v>30</v>
      </c>
      <c r="O91" s="13" t="s">
        <v>43</v>
      </c>
      <c r="P91" s="13">
        <v>45.0</v>
      </c>
    </row>
    <row r="92" ht="22.5" customHeight="1">
      <c r="A92" s="13" t="s">
        <v>410</v>
      </c>
      <c r="B92" s="13" t="s">
        <v>110</v>
      </c>
      <c r="C92" s="13" t="s">
        <v>31</v>
      </c>
      <c r="D92" s="13" t="s">
        <v>411</v>
      </c>
      <c r="E92" s="13" t="s">
        <v>34</v>
      </c>
      <c r="F92" s="13" t="s">
        <v>30</v>
      </c>
      <c r="G92" s="13" t="s">
        <v>203</v>
      </c>
      <c r="H92" s="13" t="s">
        <v>36</v>
      </c>
      <c r="I92" s="13" t="s">
        <v>141</v>
      </c>
      <c r="J92" s="13" t="s">
        <v>67</v>
      </c>
      <c r="K92" s="13" t="s">
        <v>50</v>
      </c>
      <c r="L92" s="14" t="s">
        <v>28</v>
      </c>
      <c r="M92" s="13" t="s">
        <v>108</v>
      </c>
      <c r="N92" s="13" t="s">
        <v>30</v>
      </c>
      <c r="O92" s="13" t="s">
        <v>43</v>
      </c>
      <c r="P92" s="13">
        <v>19.0</v>
      </c>
    </row>
    <row r="93" ht="22.5" customHeight="1">
      <c r="A93" s="13" t="s">
        <v>412</v>
      </c>
      <c r="B93" s="13" t="s">
        <v>413</v>
      </c>
      <c r="C93" s="14" t="s">
        <v>28</v>
      </c>
      <c r="D93" s="13" t="s">
        <v>202</v>
      </c>
      <c r="E93" s="13" t="s">
        <v>78</v>
      </c>
      <c r="F93" s="13" t="s">
        <v>60</v>
      </c>
      <c r="G93" s="13" t="s">
        <v>414</v>
      </c>
      <c r="H93" s="13" t="s">
        <v>36</v>
      </c>
      <c r="I93" s="13" t="s">
        <v>415</v>
      </c>
      <c r="J93" s="13" t="s">
        <v>26</v>
      </c>
      <c r="K93" s="13" t="s">
        <v>27</v>
      </c>
      <c r="L93" s="13">
        <v>0.0</v>
      </c>
      <c r="M93" s="13" t="s">
        <v>216</v>
      </c>
      <c r="N93" s="13" t="s">
        <v>52</v>
      </c>
      <c r="O93" s="13" t="s">
        <v>43</v>
      </c>
      <c r="P93" s="13">
        <v>19.0</v>
      </c>
    </row>
    <row r="94" ht="22.5" customHeight="1">
      <c r="A94" s="13" t="s">
        <v>416</v>
      </c>
      <c r="B94" s="13" t="s">
        <v>417</v>
      </c>
      <c r="C94" s="13" t="s">
        <v>31</v>
      </c>
      <c r="D94" s="13" t="s">
        <v>20</v>
      </c>
      <c r="E94" s="13" t="s">
        <v>34</v>
      </c>
      <c r="F94" s="13" t="s">
        <v>30</v>
      </c>
      <c r="G94" s="13" t="s">
        <v>418</v>
      </c>
      <c r="H94" s="13" t="s">
        <v>36</v>
      </c>
      <c r="I94" s="13" t="s">
        <v>419</v>
      </c>
      <c r="J94" s="13" t="s">
        <v>67</v>
      </c>
      <c r="K94" s="13" t="s">
        <v>39</v>
      </c>
      <c r="L94" s="14" t="s">
        <v>113</v>
      </c>
      <c r="M94" s="13" t="s">
        <v>420</v>
      </c>
      <c r="N94" s="13" t="s">
        <v>30</v>
      </c>
      <c r="O94" s="13" t="s">
        <v>61</v>
      </c>
      <c r="P94" s="13">
        <v>19.0</v>
      </c>
    </row>
    <row r="95" ht="22.5" customHeight="1">
      <c r="A95" s="13" t="s">
        <v>421</v>
      </c>
      <c r="B95" s="13" t="s">
        <v>345</v>
      </c>
      <c r="C95" s="14" t="s">
        <v>28</v>
      </c>
      <c r="D95" s="13" t="s">
        <v>33</v>
      </c>
      <c r="E95" s="13" t="s">
        <v>200</v>
      </c>
      <c r="F95" s="13" t="s">
        <v>22</v>
      </c>
      <c r="G95" s="13" t="s">
        <v>422</v>
      </c>
      <c r="H95" s="13" t="s">
        <v>105</v>
      </c>
      <c r="I95" s="13" t="s">
        <v>370</v>
      </c>
      <c r="J95" s="13" t="s">
        <v>67</v>
      </c>
      <c r="K95" s="13" t="s">
        <v>107</v>
      </c>
      <c r="L95" s="14" t="s">
        <v>113</v>
      </c>
      <c r="M95" s="13" t="s">
        <v>216</v>
      </c>
      <c r="N95" s="13" t="s">
        <v>42</v>
      </c>
      <c r="O95" s="13" t="s">
        <v>43</v>
      </c>
      <c r="P95" s="13">
        <v>20.0</v>
      </c>
    </row>
    <row r="96" ht="22.5" customHeight="1">
      <c r="A96" s="13" t="s">
        <v>423</v>
      </c>
      <c r="B96" s="13" t="s">
        <v>424</v>
      </c>
      <c r="C96" s="13" t="s">
        <v>54</v>
      </c>
      <c r="D96" s="13" t="s">
        <v>425</v>
      </c>
      <c r="E96" s="13" t="s">
        <v>47</v>
      </c>
      <c r="F96" s="13" t="s">
        <v>48</v>
      </c>
      <c r="G96" s="13" t="s">
        <v>426</v>
      </c>
      <c r="H96" s="13" t="s">
        <v>105</v>
      </c>
      <c r="I96" s="13" t="s">
        <v>427</v>
      </c>
      <c r="J96" s="13" t="s">
        <v>232</v>
      </c>
      <c r="K96" s="13" t="s">
        <v>50</v>
      </c>
      <c r="L96" s="13">
        <v>0.0</v>
      </c>
      <c r="M96" s="13" t="s">
        <v>428</v>
      </c>
      <c r="N96" s="13" t="s">
        <v>52</v>
      </c>
      <c r="O96" s="13" t="s">
        <v>61</v>
      </c>
      <c r="P96" s="13" t="s">
        <v>429</v>
      </c>
    </row>
    <row r="97" ht="22.5" customHeight="1">
      <c r="A97" s="13" t="s">
        <v>430</v>
      </c>
      <c r="B97" s="13" t="s">
        <v>431</v>
      </c>
      <c r="C97" s="13" t="s">
        <v>54</v>
      </c>
      <c r="D97" s="13" t="s">
        <v>432</v>
      </c>
      <c r="E97" s="13" t="s">
        <v>21</v>
      </c>
      <c r="F97" s="13" t="s">
        <v>22</v>
      </c>
      <c r="G97" s="13" t="s">
        <v>433</v>
      </c>
      <c r="H97" s="13" t="s">
        <v>78</v>
      </c>
      <c r="I97" s="13" t="s">
        <v>434</v>
      </c>
      <c r="J97" s="13" t="s">
        <v>26</v>
      </c>
      <c r="K97" s="13" t="s">
        <v>27</v>
      </c>
      <c r="L97" s="14" t="s">
        <v>28</v>
      </c>
      <c r="M97" s="13" t="s">
        <v>435</v>
      </c>
      <c r="N97" s="13" t="s">
        <v>60</v>
      </c>
      <c r="O97" s="13" t="s">
        <v>43</v>
      </c>
      <c r="P97" s="13">
        <v>23.0</v>
      </c>
    </row>
    <row r="98" ht="22.5" customHeight="1">
      <c r="A98" s="13" t="s">
        <v>436</v>
      </c>
      <c r="B98" s="13" t="s">
        <v>437</v>
      </c>
      <c r="C98" s="13" t="s">
        <v>31</v>
      </c>
      <c r="D98" s="13" t="s">
        <v>438</v>
      </c>
      <c r="E98" s="13" t="s">
        <v>34</v>
      </c>
      <c r="F98" s="13" t="s">
        <v>60</v>
      </c>
      <c r="G98" s="13" t="s">
        <v>439</v>
      </c>
      <c r="H98" s="13" t="s">
        <v>105</v>
      </c>
      <c r="I98" s="13" t="s">
        <v>112</v>
      </c>
      <c r="J98" s="13" t="s">
        <v>38</v>
      </c>
      <c r="K98" s="13" t="s">
        <v>27</v>
      </c>
      <c r="L98" s="14" t="s">
        <v>113</v>
      </c>
      <c r="M98" s="13" t="s">
        <v>440</v>
      </c>
      <c r="N98" s="13" t="s">
        <v>42</v>
      </c>
      <c r="O98" s="13" t="s">
        <v>43</v>
      </c>
      <c r="P98" s="13">
        <v>19.0</v>
      </c>
    </row>
    <row r="99" ht="22.5" customHeight="1">
      <c r="A99" s="13" t="s">
        <v>441</v>
      </c>
      <c r="B99" s="13" t="s">
        <v>442</v>
      </c>
      <c r="C99" s="13" t="s">
        <v>54</v>
      </c>
      <c r="D99" s="13" t="s">
        <v>443</v>
      </c>
      <c r="E99" s="13" t="s">
        <v>34</v>
      </c>
      <c r="F99" s="13" t="s">
        <v>22</v>
      </c>
      <c r="G99" s="13" t="s">
        <v>444</v>
      </c>
      <c r="H99" s="13" t="s">
        <v>36</v>
      </c>
      <c r="I99" s="13" t="s">
        <v>445</v>
      </c>
      <c r="J99" s="13" t="s">
        <v>232</v>
      </c>
      <c r="K99" s="13" t="s">
        <v>39</v>
      </c>
      <c r="L99" s="14" t="s">
        <v>113</v>
      </c>
      <c r="M99" s="13" t="s">
        <v>446</v>
      </c>
      <c r="N99" s="13" t="s">
        <v>30</v>
      </c>
      <c r="O99" s="13" t="s">
        <v>61</v>
      </c>
      <c r="P99" s="13">
        <v>74.0</v>
      </c>
    </row>
    <row r="100" ht="22.5" customHeight="1">
      <c r="A100" s="13" t="s">
        <v>447</v>
      </c>
      <c r="B100" s="13" t="s">
        <v>408</v>
      </c>
      <c r="C100" s="13" t="s">
        <v>54</v>
      </c>
      <c r="D100" s="13" t="s">
        <v>245</v>
      </c>
      <c r="E100" s="13" t="s">
        <v>47</v>
      </c>
      <c r="F100" s="13" t="s">
        <v>48</v>
      </c>
      <c r="G100" s="13" t="s">
        <v>409</v>
      </c>
      <c r="H100" s="13" t="s">
        <v>122</v>
      </c>
      <c r="I100" s="13" t="s">
        <v>141</v>
      </c>
      <c r="J100" s="13" t="s">
        <v>38</v>
      </c>
      <c r="K100" s="13" t="s">
        <v>39</v>
      </c>
      <c r="L100" s="14" t="s">
        <v>28</v>
      </c>
      <c r="M100" s="13" t="s">
        <v>108</v>
      </c>
      <c r="N100" s="13" t="s">
        <v>52</v>
      </c>
      <c r="O100" s="13" t="s">
        <v>43</v>
      </c>
      <c r="P100" s="13">
        <v>19.0</v>
      </c>
    </row>
    <row r="101" ht="22.5" customHeight="1">
      <c r="A101" s="13" t="s">
        <v>448</v>
      </c>
      <c r="B101" s="13" t="s">
        <v>102</v>
      </c>
      <c r="C101" s="13" t="s">
        <v>31</v>
      </c>
      <c r="D101" s="13" t="s">
        <v>33</v>
      </c>
      <c r="E101" s="13" t="s">
        <v>200</v>
      </c>
      <c r="F101" s="13" t="s">
        <v>22</v>
      </c>
      <c r="G101" s="13" t="s">
        <v>104</v>
      </c>
      <c r="H101" s="13" t="s">
        <v>24</v>
      </c>
      <c r="I101" s="13" t="s">
        <v>37</v>
      </c>
      <c r="J101" s="13" t="s">
        <v>26</v>
      </c>
      <c r="K101" s="13" t="s">
        <v>50</v>
      </c>
      <c r="L101" s="13">
        <v>0.0</v>
      </c>
      <c r="M101" s="13" t="s">
        <v>299</v>
      </c>
      <c r="N101" s="13" t="s">
        <v>52</v>
      </c>
      <c r="O101" s="13" t="s">
        <v>61</v>
      </c>
      <c r="P101" s="13">
        <v>24.0</v>
      </c>
    </row>
    <row r="102" ht="22.5" customHeight="1">
      <c r="A102" s="13" t="s">
        <v>449</v>
      </c>
      <c r="B102" s="13" t="s">
        <v>151</v>
      </c>
      <c r="C102" s="14" t="s">
        <v>18</v>
      </c>
      <c r="D102" s="13" t="s">
        <v>33</v>
      </c>
      <c r="E102" s="13" t="s">
        <v>200</v>
      </c>
      <c r="F102" s="13" t="s">
        <v>22</v>
      </c>
      <c r="G102" s="13" t="s">
        <v>366</v>
      </c>
      <c r="H102" s="13" t="s">
        <v>24</v>
      </c>
      <c r="I102" s="13" t="s">
        <v>231</v>
      </c>
      <c r="J102" s="13" t="s">
        <v>67</v>
      </c>
      <c r="K102" s="13" t="s">
        <v>50</v>
      </c>
      <c r="L102" s="13">
        <v>0.0</v>
      </c>
      <c r="M102" s="13" t="s">
        <v>124</v>
      </c>
      <c r="N102" s="13" t="s">
        <v>30</v>
      </c>
      <c r="O102" s="13" t="s">
        <v>43</v>
      </c>
      <c r="P102" s="13">
        <v>24.0</v>
      </c>
    </row>
    <row r="103" ht="22.5" customHeight="1">
      <c r="A103" s="13" t="s">
        <v>450</v>
      </c>
      <c r="B103" s="13" t="s">
        <v>451</v>
      </c>
      <c r="C103" s="14" t="s">
        <v>28</v>
      </c>
      <c r="D103" s="13" t="s">
        <v>255</v>
      </c>
      <c r="E103" s="13" t="s">
        <v>34</v>
      </c>
      <c r="F103" s="13" t="s">
        <v>30</v>
      </c>
      <c r="G103" s="13" t="s">
        <v>409</v>
      </c>
      <c r="H103" s="13" t="s">
        <v>105</v>
      </c>
      <c r="I103" s="13" t="s">
        <v>112</v>
      </c>
      <c r="J103" s="13" t="s">
        <v>26</v>
      </c>
      <c r="K103" s="13" t="s">
        <v>39</v>
      </c>
      <c r="L103" s="14" t="s">
        <v>28</v>
      </c>
      <c r="M103" s="13" t="s">
        <v>216</v>
      </c>
      <c r="N103" s="13" t="s">
        <v>30</v>
      </c>
      <c r="O103" s="13" t="s">
        <v>397</v>
      </c>
      <c r="P103" s="13">
        <v>19.0</v>
      </c>
    </row>
    <row r="104" ht="22.5" customHeight="1">
      <c r="A104" s="13" t="s">
        <v>452</v>
      </c>
      <c r="B104" s="13" t="s">
        <v>55</v>
      </c>
      <c r="C104" s="13" t="s">
        <v>31</v>
      </c>
      <c r="D104" s="13" t="s">
        <v>33</v>
      </c>
      <c r="E104" s="13" t="s">
        <v>21</v>
      </c>
      <c r="F104" s="13" t="s">
        <v>22</v>
      </c>
      <c r="G104" s="13" t="s">
        <v>453</v>
      </c>
      <c r="H104" s="13" t="s">
        <v>24</v>
      </c>
      <c r="I104" s="13" t="s">
        <v>112</v>
      </c>
      <c r="J104" s="13" t="s">
        <v>38</v>
      </c>
      <c r="K104" s="13" t="s">
        <v>39</v>
      </c>
      <c r="L104" s="14" t="s">
        <v>113</v>
      </c>
      <c r="M104" s="13" t="s">
        <v>454</v>
      </c>
      <c r="N104" s="13" t="s">
        <v>30</v>
      </c>
      <c r="O104" s="13" t="s">
        <v>43</v>
      </c>
      <c r="P104" s="13">
        <v>19.0</v>
      </c>
    </row>
    <row r="105" ht="22.5" customHeight="1">
      <c r="A105" s="13" t="s">
        <v>455</v>
      </c>
      <c r="B105" s="13" t="s">
        <v>456</v>
      </c>
      <c r="C105" s="13" t="s">
        <v>31</v>
      </c>
      <c r="D105" s="13" t="s">
        <v>64</v>
      </c>
      <c r="E105" s="13" t="s">
        <v>34</v>
      </c>
      <c r="F105" s="13" t="s">
        <v>48</v>
      </c>
      <c r="G105" s="13" t="s">
        <v>251</v>
      </c>
      <c r="H105" s="13" t="s">
        <v>24</v>
      </c>
      <c r="I105" s="13" t="s">
        <v>112</v>
      </c>
      <c r="J105" s="13" t="s">
        <v>38</v>
      </c>
      <c r="K105" s="13" t="s">
        <v>50</v>
      </c>
      <c r="L105" s="13">
        <v>0.0</v>
      </c>
      <c r="M105" s="13" t="s">
        <v>457</v>
      </c>
      <c r="N105" s="13" t="s">
        <v>30</v>
      </c>
      <c r="O105" s="13" t="s">
        <v>43</v>
      </c>
      <c r="P105" s="13">
        <v>20.0</v>
      </c>
    </row>
    <row r="106" ht="22.5" customHeight="1">
      <c r="A106" s="13" t="s">
        <v>458</v>
      </c>
      <c r="B106" s="13" t="s">
        <v>102</v>
      </c>
      <c r="C106" s="13" t="s">
        <v>31</v>
      </c>
      <c r="D106" s="13" t="s">
        <v>33</v>
      </c>
      <c r="E106" s="13" t="s">
        <v>78</v>
      </c>
      <c r="F106" s="13" t="s">
        <v>60</v>
      </c>
      <c r="G106" s="13" t="s">
        <v>459</v>
      </c>
      <c r="H106" s="13" t="s">
        <v>122</v>
      </c>
      <c r="I106" s="13" t="s">
        <v>106</v>
      </c>
      <c r="J106" s="13" t="s">
        <v>38</v>
      </c>
      <c r="K106" s="13" t="s">
        <v>39</v>
      </c>
      <c r="L106" s="14" t="s">
        <v>113</v>
      </c>
      <c r="M106" s="13" t="s">
        <v>165</v>
      </c>
      <c r="N106" s="13" t="s">
        <v>60</v>
      </c>
      <c r="O106" s="13" t="s">
        <v>61</v>
      </c>
      <c r="P106" s="13">
        <v>19.0</v>
      </c>
    </row>
    <row r="107" ht="22.5" customHeight="1">
      <c r="A107" s="13" t="s">
        <v>460</v>
      </c>
      <c r="B107" s="13" t="s">
        <v>461</v>
      </c>
      <c r="C107" s="13" t="s">
        <v>31</v>
      </c>
      <c r="D107" s="13" t="s">
        <v>174</v>
      </c>
      <c r="E107" s="13" t="s">
        <v>34</v>
      </c>
      <c r="F107" s="13" t="s">
        <v>48</v>
      </c>
      <c r="G107" s="13" t="s">
        <v>462</v>
      </c>
      <c r="H107" s="13" t="s">
        <v>24</v>
      </c>
      <c r="I107" s="13" t="s">
        <v>112</v>
      </c>
      <c r="J107" s="13" t="s">
        <v>38</v>
      </c>
      <c r="K107" s="13" t="s">
        <v>50</v>
      </c>
      <c r="L107" s="13" t="s">
        <v>40</v>
      </c>
      <c r="M107" s="13" t="s">
        <v>463</v>
      </c>
      <c r="N107" s="13" t="s">
        <v>30</v>
      </c>
      <c r="O107" s="13" t="s">
        <v>61</v>
      </c>
      <c r="P107" s="13">
        <v>20.0</v>
      </c>
    </row>
    <row r="108" ht="22.5" customHeight="1">
      <c r="A108" s="13" t="s">
        <v>464</v>
      </c>
      <c r="B108" s="13" t="s">
        <v>465</v>
      </c>
      <c r="C108" s="13" t="s">
        <v>31</v>
      </c>
      <c r="D108" s="13" t="s">
        <v>411</v>
      </c>
      <c r="E108" s="13" t="s">
        <v>78</v>
      </c>
      <c r="F108" s="13" t="s">
        <v>60</v>
      </c>
      <c r="G108" s="13" t="s">
        <v>466</v>
      </c>
      <c r="H108" s="13" t="s">
        <v>36</v>
      </c>
      <c r="I108" s="13" t="s">
        <v>467</v>
      </c>
      <c r="J108" s="13" t="s">
        <v>38</v>
      </c>
      <c r="K108" s="13" t="s">
        <v>39</v>
      </c>
      <c r="L108" s="14" t="s">
        <v>113</v>
      </c>
      <c r="M108" s="13" t="s">
        <v>352</v>
      </c>
      <c r="N108" s="13" t="s">
        <v>30</v>
      </c>
      <c r="O108" s="13" t="s">
        <v>43</v>
      </c>
      <c r="P108" s="13">
        <v>20.0</v>
      </c>
    </row>
    <row r="109" ht="22.5" customHeight="1">
      <c r="A109" s="13" t="s">
        <v>468</v>
      </c>
      <c r="B109" s="13" t="s">
        <v>469</v>
      </c>
      <c r="C109" s="14" t="s">
        <v>18</v>
      </c>
      <c r="D109" s="13" t="s">
        <v>64</v>
      </c>
      <c r="E109" s="13" t="s">
        <v>21</v>
      </c>
      <c r="F109" s="13" t="s">
        <v>22</v>
      </c>
      <c r="G109" s="13" t="s">
        <v>392</v>
      </c>
      <c r="H109" s="13" t="s">
        <v>36</v>
      </c>
      <c r="I109" s="13" t="s">
        <v>470</v>
      </c>
      <c r="J109" s="13" t="s">
        <v>67</v>
      </c>
      <c r="K109" s="13" t="s">
        <v>107</v>
      </c>
      <c r="L109" s="13" t="s">
        <v>40</v>
      </c>
      <c r="M109" s="13" t="s">
        <v>133</v>
      </c>
      <c r="N109" s="13" t="s">
        <v>60</v>
      </c>
      <c r="O109" s="13" t="s">
        <v>43</v>
      </c>
      <c r="P109" s="13">
        <v>19.0</v>
      </c>
    </row>
    <row r="110" ht="22.5" customHeight="1">
      <c r="A110" s="13" t="s">
        <v>471</v>
      </c>
      <c r="B110" s="13" t="s">
        <v>472</v>
      </c>
      <c r="C110" s="13" t="s">
        <v>31</v>
      </c>
      <c r="D110" s="13" t="s">
        <v>158</v>
      </c>
      <c r="E110" s="13" t="s">
        <v>34</v>
      </c>
      <c r="F110" s="13" t="s">
        <v>22</v>
      </c>
      <c r="G110" s="13" t="s">
        <v>203</v>
      </c>
      <c r="H110" s="13" t="s">
        <v>24</v>
      </c>
      <c r="I110" s="13" t="s">
        <v>473</v>
      </c>
      <c r="J110" s="13" t="s">
        <v>67</v>
      </c>
      <c r="K110" s="13" t="s">
        <v>39</v>
      </c>
      <c r="L110" s="13" t="s">
        <v>40</v>
      </c>
      <c r="M110" s="13" t="s">
        <v>474</v>
      </c>
      <c r="N110" s="13" t="s">
        <v>60</v>
      </c>
      <c r="O110" s="13" t="s">
        <v>43</v>
      </c>
      <c r="P110" s="13">
        <v>19.0</v>
      </c>
    </row>
    <row r="111" ht="22.5" customHeight="1">
      <c r="A111" s="13" t="s">
        <v>475</v>
      </c>
      <c r="B111" s="13" t="s">
        <v>476</v>
      </c>
      <c r="C111" s="14" t="s">
        <v>28</v>
      </c>
      <c r="D111" s="13" t="s">
        <v>33</v>
      </c>
      <c r="E111" s="13" t="s">
        <v>103</v>
      </c>
      <c r="F111" s="13" t="s">
        <v>30</v>
      </c>
      <c r="G111" s="13" t="s">
        <v>477</v>
      </c>
      <c r="H111" s="13" t="s">
        <v>36</v>
      </c>
      <c r="I111" s="13" t="s">
        <v>37</v>
      </c>
      <c r="J111" s="13" t="s">
        <v>26</v>
      </c>
      <c r="K111" s="13" t="s">
        <v>50</v>
      </c>
      <c r="L111" s="14" t="s">
        <v>28</v>
      </c>
      <c r="M111" s="13" t="s">
        <v>383</v>
      </c>
      <c r="N111" s="13" t="s">
        <v>60</v>
      </c>
      <c r="O111" s="13" t="s">
        <v>61</v>
      </c>
      <c r="P111" s="13">
        <v>19.0</v>
      </c>
    </row>
    <row r="112" ht="22.5" customHeight="1">
      <c r="A112" s="13" t="s">
        <v>478</v>
      </c>
      <c r="B112" s="13" t="s">
        <v>214</v>
      </c>
      <c r="C112" s="13" t="s">
        <v>31</v>
      </c>
      <c r="D112" s="13" t="s">
        <v>125</v>
      </c>
      <c r="E112" s="13" t="s">
        <v>78</v>
      </c>
      <c r="F112" s="13" t="s">
        <v>48</v>
      </c>
      <c r="G112" s="13" t="s">
        <v>479</v>
      </c>
      <c r="H112" s="13" t="s">
        <v>24</v>
      </c>
      <c r="I112" s="13" t="s">
        <v>112</v>
      </c>
      <c r="J112" s="13" t="s">
        <v>67</v>
      </c>
      <c r="K112" s="13" t="s">
        <v>50</v>
      </c>
      <c r="L112" s="13">
        <v>0.0</v>
      </c>
      <c r="M112" s="13" t="s">
        <v>480</v>
      </c>
      <c r="N112" s="13" t="s">
        <v>52</v>
      </c>
      <c r="O112" s="13" t="s">
        <v>43</v>
      </c>
      <c r="P112" s="13">
        <v>19.0</v>
      </c>
    </row>
    <row r="113" ht="22.5" customHeight="1">
      <c r="A113" s="13" t="s">
        <v>481</v>
      </c>
      <c r="B113" s="13" t="s">
        <v>102</v>
      </c>
      <c r="C113" s="13" t="s">
        <v>31</v>
      </c>
      <c r="D113" s="13" t="s">
        <v>346</v>
      </c>
      <c r="E113" s="13" t="s">
        <v>200</v>
      </c>
      <c r="F113" s="13" t="s">
        <v>60</v>
      </c>
      <c r="G113" s="13" t="s">
        <v>366</v>
      </c>
      <c r="H113" s="13" t="s">
        <v>122</v>
      </c>
      <c r="I113" s="13" t="s">
        <v>112</v>
      </c>
      <c r="J113" s="13" t="s">
        <v>67</v>
      </c>
      <c r="K113" s="13" t="s">
        <v>107</v>
      </c>
      <c r="L113" s="13">
        <v>0.0</v>
      </c>
      <c r="M113" s="13" t="s">
        <v>329</v>
      </c>
      <c r="N113" s="13" t="s">
        <v>60</v>
      </c>
      <c r="O113" s="13" t="s">
        <v>61</v>
      </c>
      <c r="P113" s="13">
        <v>6.0</v>
      </c>
    </row>
    <row r="114" ht="22.5" customHeight="1">
      <c r="A114" s="13" t="s">
        <v>482</v>
      </c>
      <c r="B114" s="13" t="s">
        <v>211</v>
      </c>
      <c r="C114" s="13" t="s">
        <v>31</v>
      </c>
      <c r="D114" s="13" t="s">
        <v>483</v>
      </c>
      <c r="E114" s="13" t="s">
        <v>21</v>
      </c>
      <c r="F114" s="13" t="s">
        <v>22</v>
      </c>
      <c r="G114" s="13" t="s">
        <v>484</v>
      </c>
      <c r="H114" s="13" t="s">
        <v>36</v>
      </c>
      <c r="I114" s="13" t="s">
        <v>328</v>
      </c>
      <c r="J114" s="13" t="s">
        <v>67</v>
      </c>
      <c r="K114" s="13" t="s">
        <v>39</v>
      </c>
      <c r="L114" s="14" t="s">
        <v>28</v>
      </c>
      <c r="M114" s="13" t="s">
        <v>485</v>
      </c>
      <c r="N114" s="13" t="s">
        <v>30</v>
      </c>
      <c r="O114" s="13" t="s">
        <v>43</v>
      </c>
      <c r="P114" s="13">
        <v>20.0</v>
      </c>
    </row>
    <row r="115" ht="22.5" customHeight="1">
      <c r="A115" s="13" t="s">
        <v>486</v>
      </c>
      <c r="B115" s="13" t="s">
        <v>260</v>
      </c>
      <c r="C115" s="13" t="s">
        <v>31</v>
      </c>
      <c r="D115" s="13" t="s">
        <v>33</v>
      </c>
      <c r="E115" s="13" t="s">
        <v>21</v>
      </c>
      <c r="F115" s="13" t="s">
        <v>60</v>
      </c>
      <c r="G115" s="13" t="s">
        <v>487</v>
      </c>
      <c r="H115" s="13" t="s">
        <v>24</v>
      </c>
      <c r="I115" s="13" t="s">
        <v>25</v>
      </c>
      <c r="J115" s="13" t="s">
        <v>38</v>
      </c>
      <c r="K115" s="13" t="s">
        <v>50</v>
      </c>
      <c r="L115" s="14" t="s">
        <v>113</v>
      </c>
      <c r="M115" s="13" t="s">
        <v>165</v>
      </c>
      <c r="N115" s="13" t="s">
        <v>52</v>
      </c>
      <c r="O115" s="13" t="s">
        <v>61</v>
      </c>
      <c r="P115" s="13">
        <v>19.0</v>
      </c>
    </row>
    <row r="116" ht="22.5" customHeight="1">
      <c r="B116" s="13" t="s">
        <v>102</v>
      </c>
      <c r="C116" s="13" t="s">
        <v>31</v>
      </c>
      <c r="D116" s="13" t="s">
        <v>33</v>
      </c>
      <c r="E116" s="13" t="s">
        <v>47</v>
      </c>
      <c r="F116" s="13" t="s">
        <v>30</v>
      </c>
      <c r="G116" s="13" t="s">
        <v>104</v>
      </c>
      <c r="H116" s="13" t="s">
        <v>105</v>
      </c>
      <c r="I116" s="13" t="s">
        <v>112</v>
      </c>
      <c r="J116" s="13" t="s">
        <v>67</v>
      </c>
      <c r="K116" s="13" t="s">
        <v>39</v>
      </c>
      <c r="L116" s="13">
        <v>0.0</v>
      </c>
      <c r="M116" s="13" t="s">
        <v>216</v>
      </c>
      <c r="N116" s="13" t="s">
        <v>30</v>
      </c>
      <c r="O116" s="13" t="s">
        <v>43</v>
      </c>
      <c r="P116" s="13">
        <v>19.0</v>
      </c>
    </row>
    <row r="117" ht="22.5" customHeight="1">
      <c r="A117" s="13" t="s">
        <v>488</v>
      </c>
      <c r="B117" s="13" t="s">
        <v>102</v>
      </c>
      <c r="C117" s="13" t="s">
        <v>31</v>
      </c>
      <c r="D117" s="13" t="s">
        <v>218</v>
      </c>
      <c r="E117" s="13" t="s">
        <v>21</v>
      </c>
      <c r="F117" s="13" t="s">
        <v>22</v>
      </c>
      <c r="G117" s="13" t="s">
        <v>489</v>
      </c>
      <c r="H117" s="13" t="s">
        <v>36</v>
      </c>
      <c r="I117" s="13" t="s">
        <v>112</v>
      </c>
      <c r="J117" s="13" t="s">
        <v>38</v>
      </c>
      <c r="K117" s="13" t="s">
        <v>107</v>
      </c>
      <c r="L117" s="14" t="s">
        <v>113</v>
      </c>
      <c r="M117" s="13" t="s">
        <v>266</v>
      </c>
      <c r="N117" s="13" t="s">
        <v>30</v>
      </c>
      <c r="O117" s="13" t="s">
        <v>43</v>
      </c>
      <c r="P117" s="13">
        <v>19.0</v>
      </c>
    </row>
    <row r="118" ht="22.5" customHeight="1">
      <c r="A118" s="13" t="s">
        <v>490</v>
      </c>
      <c r="B118" s="13" t="s">
        <v>491</v>
      </c>
      <c r="C118" s="13" t="s">
        <v>31</v>
      </c>
      <c r="D118" s="13" t="s">
        <v>174</v>
      </c>
      <c r="E118" s="13" t="s">
        <v>21</v>
      </c>
      <c r="F118" s="13" t="s">
        <v>30</v>
      </c>
      <c r="G118" s="13" t="s">
        <v>492</v>
      </c>
      <c r="H118" s="13" t="s">
        <v>24</v>
      </c>
      <c r="I118" s="13" t="s">
        <v>170</v>
      </c>
      <c r="J118" s="13" t="s">
        <v>67</v>
      </c>
      <c r="K118" s="13" t="s">
        <v>27</v>
      </c>
      <c r="L118" s="14" t="s">
        <v>28</v>
      </c>
      <c r="M118" s="13" t="s">
        <v>165</v>
      </c>
      <c r="N118" s="13" t="s">
        <v>30</v>
      </c>
      <c r="O118" s="13" t="s">
        <v>61</v>
      </c>
      <c r="P118" s="13">
        <v>20.0</v>
      </c>
    </row>
    <row r="119" ht="22.5" customHeight="1">
      <c r="A119" s="13" t="s">
        <v>493</v>
      </c>
      <c r="B119" s="13" t="s">
        <v>151</v>
      </c>
      <c r="C119" s="14" t="s">
        <v>18</v>
      </c>
      <c r="D119" s="13" t="s">
        <v>33</v>
      </c>
      <c r="E119" s="13" t="s">
        <v>34</v>
      </c>
      <c r="F119" s="13" t="s">
        <v>48</v>
      </c>
      <c r="G119" s="13" t="s">
        <v>494</v>
      </c>
      <c r="H119" s="13" t="s">
        <v>24</v>
      </c>
      <c r="I119" s="13" t="s">
        <v>37</v>
      </c>
      <c r="J119" s="13" t="s">
        <v>26</v>
      </c>
      <c r="K119" s="13" t="s">
        <v>39</v>
      </c>
      <c r="L119" s="14" t="s">
        <v>113</v>
      </c>
      <c r="M119" s="13" t="s">
        <v>149</v>
      </c>
      <c r="N119" s="13" t="s">
        <v>52</v>
      </c>
      <c r="O119" s="13" t="s">
        <v>61</v>
      </c>
      <c r="P119" s="13">
        <v>19.0</v>
      </c>
    </row>
    <row r="120" ht="22.5" customHeight="1">
      <c r="B120" s="13" t="s">
        <v>151</v>
      </c>
      <c r="C120" s="13" t="s">
        <v>31</v>
      </c>
      <c r="D120" s="13" t="s">
        <v>64</v>
      </c>
      <c r="E120" s="13" t="s">
        <v>21</v>
      </c>
      <c r="F120" s="13" t="s">
        <v>22</v>
      </c>
      <c r="G120" s="13" t="s">
        <v>495</v>
      </c>
      <c r="H120" s="13" t="s">
        <v>36</v>
      </c>
      <c r="I120" s="13" t="s">
        <v>496</v>
      </c>
      <c r="J120" s="13" t="s">
        <v>67</v>
      </c>
      <c r="K120" s="13" t="s">
        <v>39</v>
      </c>
      <c r="L120" s="14" t="s">
        <v>113</v>
      </c>
      <c r="M120" s="13" t="s">
        <v>497</v>
      </c>
      <c r="N120" s="13" t="s">
        <v>30</v>
      </c>
      <c r="O120" s="13" t="s">
        <v>61</v>
      </c>
      <c r="P120" s="13">
        <v>19.0</v>
      </c>
    </row>
    <row r="121" ht="22.5" customHeight="1">
      <c r="A121" s="13" t="s">
        <v>498</v>
      </c>
      <c r="B121" s="13" t="s">
        <v>499</v>
      </c>
      <c r="C121" s="13" t="s">
        <v>31</v>
      </c>
      <c r="D121" s="13" t="s">
        <v>33</v>
      </c>
      <c r="E121" s="13" t="s">
        <v>34</v>
      </c>
      <c r="F121" s="13" t="s">
        <v>60</v>
      </c>
      <c r="G121" s="13" t="s">
        <v>500</v>
      </c>
      <c r="H121" s="13" t="s">
        <v>36</v>
      </c>
      <c r="I121" s="13" t="s">
        <v>141</v>
      </c>
      <c r="J121" s="13" t="s">
        <v>58</v>
      </c>
      <c r="K121" s="13" t="s">
        <v>39</v>
      </c>
      <c r="L121" s="14" t="s">
        <v>113</v>
      </c>
      <c r="M121" s="13" t="s">
        <v>124</v>
      </c>
      <c r="N121" s="13" t="s">
        <v>60</v>
      </c>
      <c r="O121" s="13" t="s">
        <v>61</v>
      </c>
      <c r="P121" s="13">
        <v>19.0</v>
      </c>
    </row>
    <row r="122" ht="22.5" customHeight="1">
      <c r="A122" s="13" t="s">
        <v>501</v>
      </c>
      <c r="B122" s="13" t="s">
        <v>55</v>
      </c>
      <c r="C122" s="13" t="s">
        <v>31</v>
      </c>
      <c r="D122" s="13" t="s">
        <v>33</v>
      </c>
      <c r="E122" s="13" t="s">
        <v>34</v>
      </c>
      <c r="F122" s="13" t="s">
        <v>60</v>
      </c>
      <c r="G122" s="13" t="s">
        <v>502</v>
      </c>
      <c r="H122" s="13" t="s">
        <v>36</v>
      </c>
      <c r="I122" s="13" t="s">
        <v>141</v>
      </c>
      <c r="J122" s="13" t="s">
        <v>58</v>
      </c>
      <c r="K122" s="13" t="s">
        <v>39</v>
      </c>
      <c r="L122" s="14" t="s">
        <v>113</v>
      </c>
      <c r="M122" s="13" t="s">
        <v>108</v>
      </c>
      <c r="N122" s="13" t="s">
        <v>60</v>
      </c>
      <c r="O122" s="13" t="s">
        <v>61</v>
      </c>
      <c r="P122" s="13">
        <v>18.0</v>
      </c>
    </row>
    <row r="123" ht="22.5" customHeight="1">
      <c r="B123" s="13" t="s">
        <v>472</v>
      </c>
      <c r="C123" s="13" t="s">
        <v>31</v>
      </c>
      <c r="D123" s="13" t="s">
        <v>202</v>
      </c>
      <c r="E123" s="13" t="s">
        <v>103</v>
      </c>
      <c r="F123" s="13" t="s">
        <v>22</v>
      </c>
      <c r="G123" s="13" t="s">
        <v>392</v>
      </c>
      <c r="H123" s="13" t="s">
        <v>24</v>
      </c>
      <c r="I123" s="13" t="s">
        <v>146</v>
      </c>
      <c r="J123" s="13" t="s">
        <v>26</v>
      </c>
      <c r="K123" s="13" t="s">
        <v>50</v>
      </c>
      <c r="L123" s="14" t="s">
        <v>28</v>
      </c>
      <c r="M123" s="13" t="s">
        <v>503</v>
      </c>
      <c r="N123" s="13" t="s">
        <v>60</v>
      </c>
      <c r="O123" s="13" t="s">
        <v>43</v>
      </c>
      <c r="P123" s="13">
        <v>19.0</v>
      </c>
    </row>
    <row r="124" ht="22.5" customHeight="1">
      <c r="A124" s="13" t="s">
        <v>504</v>
      </c>
      <c r="B124" s="13" t="s">
        <v>102</v>
      </c>
      <c r="C124" s="13" t="s">
        <v>31</v>
      </c>
      <c r="D124" s="13" t="s">
        <v>33</v>
      </c>
      <c r="E124" s="13" t="s">
        <v>78</v>
      </c>
      <c r="F124" s="13" t="s">
        <v>48</v>
      </c>
      <c r="G124" s="13" t="s">
        <v>505</v>
      </c>
      <c r="H124" s="13" t="s">
        <v>36</v>
      </c>
      <c r="I124" s="13" t="s">
        <v>506</v>
      </c>
      <c r="J124" s="13" t="s">
        <v>232</v>
      </c>
      <c r="K124" s="13" t="s">
        <v>27</v>
      </c>
      <c r="L124" s="14" t="s">
        <v>28</v>
      </c>
      <c r="M124" s="13" t="s">
        <v>142</v>
      </c>
      <c r="N124" s="13" t="s">
        <v>42</v>
      </c>
      <c r="O124" s="13" t="s">
        <v>43</v>
      </c>
      <c r="P124" s="13">
        <v>20.0</v>
      </c>
    </row>
    <row r="125" ht="22.5" customHeight="1">
      <c r="B125" s="13" t="s">
        <v>361</v>
      </c>
      <c r="C125" s="13" t="s">
        <v>31</v>
      </c>
      <c r="D125" s="13" t="s">
        <v>202</v>
      </c>
      <c r="E125" s="13" t="s">
        <v>21</v>
      </c>
      <c r="F125" s="13" t="s">
        <v>48</v>
      </c>
      <c r="G125" s="13" t="s">
        <v>104</v>
      </c>
      <c r="H125" s="13" t="s">
        <v>122</v>
      </c>
      <c r="I125" s="13" t="s">
        <v>507</v>
      </c>
      <c r="J125" s="13" t="s">
        <v>67</v>
      </c>
      <c r="K125" s="13" t="s">
        <v>50</v>
      </c>
      <c r="L125" s="14" t="s">
        <v>113</v>
      </c>
      <c r="M125" s="13" t="s">
        <v>171</v>
      </c>
      <c r="N125" s="13" t="s">
        <v>60</v>
      </c>
      <c r="O125" s="13" t="s">
        <v>43</v>
      </c>
      <c r="P125" s="13">
        <v>20.0</v>
      </c>
    </row>
    <row r="126" ht="22.5" customHeight="1">
      <c r="A126" s="13" t="s">
        <v>508</v>
      </c>
      <c r="B126" s="13" t="s">
        <v>129</v>
      </c>
      <c r="C126" s="14" t="s">
        <v>28</v>
      </c>
      <c r="D126" s="13" t="s">
        <v>509</v>
      </c>
      <c r="E126" s="13" t="s">
        <v>34</v>
      </c>
      <c r="F126" s="13" t="s">
        <v>60</v>
      </c>
      <c r="G126" s="13" t="s">
        <v>104</v>
      </c>
      <c r="H126" s="13" t="s">
        <v>36</v>
      </c>
      <c r="I126" s="13" t="s">
        <v>318</v>
      </c>
      <c r="J126" s="13" t="s">
        <v>67</v>
      </c>
      <c r="K126" s="13" t="s">
        <v>39</v>
      </c>
      <c r="L126" s="14" t="s">
        <v>113</v>
      </c>
      <c r="M126" s="13" t="s">
        <v>262</v>
      </c>
      <c r="N126" s="13" t="s">
        <v>30</v>
      </c>
      <c r="O126" s="13" t="s">
        <v>43</v>
      </c>
      <c r="P126" s="13">
        <v>19.0</v>
      </c>
    </row>
    <row r="127" ht="22.5" customHeight="1">
      <c r="B127" s="13" t="s">
        <v>451</v>
      </c>
      <c r="C127" s="14" t="s">
        <v>28</v>
      </c>
      <c r="D127" s="13" t="s">
        <v>202</v>
      </c>
      <c r="E127" s="13" t="s">
        <v>78</v>
      </c>
      <c r="F127" s="13" t="s">
        <v>48</v>
      </c>
      <c r="G127" s="13" t="s">
        <v>510</v>
      </c>
      <c r="H127" s="13" t="s">
        <v>36</v>
      </c>
      <c r="I127" s="13" t="s">
        <v>467</v>
      </c>
      <c r="J127" s="13" t="s">
        <v>26</v>
      </c>
      <c r="K127" s="13" t="s">
        <v>39</v>
      </c>
      <c r="L127" s="14" t="s">
        <v>28</v>
      </c>
      <c r="M127" s="13" t="s">
        <v>511</v>
      </c>
      <c r="N127" s="13" t="s">
        <v>30</v>
      </c>
      <c r="O127" s="13" t="s">
        <v>43</v>
      </c>
      <c r="P127" s="13">
        <v>19.0</v>
      </c>
    </row>
    <row r="128" ht="22.5" customHeight="1">
      <c r="A128" s="13" t="s">
        <v>512</v>
      </c>
      <c r="B128" s="13" t="s">
        <v>151</v>
      </c>
      <c r="C128" s="13" t="s">
        <v>31</v>
      </c>
      <c r="D128" s="13" t="s">
        <v>202</v>
      </c>
      <c r="E128" s="13" t="s">
        <v>34</v>
      </c>
      <c r="F128" s="13" t="s">
        <v>60</v>
      </c>
      <c r="G128" s="13" t="s">
        <v>513</v>
      </c>
      <c r="H128" s="13" t="s">
        <v>36</v>
      </c>
      <c r="I128" s="13" t="s">
        <v>514</v>
      </c>
      <c r="J128" s="13" t="s">
        <v>26</v>
      </c>
      <c r="K128" s="13" t="s">
        <v>27</v>
      </c>
      <c r="L128" s="13">
        <v>0.0</v>
      </c>
      <c r="M128" s="13" t="s">
        <v>266</v>
      </c>
      <c r="N128" s="13" t="s">
        <v>60</v>
      </c>
      <c r="O128" s="13" t="s">
        <v>61</v>
      </c>
      <c r="P128" s="13">
        <v>19.0</v>
      </c>
    </row>
    <row r="129" ht="22.5" customHeight="1">
      <c r="A129" s="13" t="s">
        <v>515</v>
      </c>
      <c r="B129" s="13" t="s">
        <v>55</v>
      </c>
      <c r="C129" s="13" t="s">
        <v>31</v>
      </c>
      <c r="D129" s="13" t="s">
        <v>33</v>
      </c>
      <c r="E129" s="13" t="s">
        <v>78</v>
      </c>
      <c r="F129" s="13" t="s">
        <v>22</v>
      </c>
      <c r="G129" s="13" t="s">
        <v>516</v>
      </c>
      <c r="H129" s="13" t="s">
        <v>122</v>
      </c>
      <c r="I129" s="13" t="s">
        <v>141</v>
      </c>
      <c r="J129" s="13" t="s">
        <v>58</v>
      </c>
      <c r="K129" s="13" t="s">
        <v>27</v>
      </c>
      <c r="L129" s="13">
        <v>0.0</v>
      </c>
      <c r="M129" s="13" t="s">
        <v>308</v>
      </c>
      <c r="N129" s="13" t="s">
        <v>52</v>
      </c>
      <c r="O129" s="13" t="s">
        <v>61</v>
      </c>
      <c r="P129" s="13">
        <v>18.0</v>
      </c>
    </row>
    <row r="130" ht="22.5" customHeight="1">
      <c r="A130" s="13" t="s">
        <v>517</v>
      </c>
      <c r="B130" s="13" t="s">
        <v>102</v>
      </c>
      <c r="C130" s="13" t="s">
        <v>54</v>
      </c>
      <c r="D130" s="13" t="s">
        <v>33</v>
      </c>
      <c r="E130" s="13" t="s">
        <v>21</v>
      </c>
      <c r="F130" s="13" t="s">
        <v>30</v>
      </c>
      <c r="G130" s="13" t="s">
        <v>518</v>
      </c>
      <c r="H130" s="13" t="s">
        <v>24</v>
      </c>
      <c r="I130" s="13" t="s">
        <v>25</v>
      </c>
      <c r="J130" s="13" t="s">
        <v>26</v>
      </c>
      <c r="K130" s="13" t="s">
        <v>39</v>
      </c>
      <c r="L130" s="13" t="s">
        <v>40</v>
      </c>
      <c r="M130" s="13" t="s">
        <v>519</v>
      </c>
      <c r="N130" s="13" t="s">
        <v>52</v>
      </c>
      <c r="O130" s="13" t="s">
        <v>397</v>
      </c>
      <c r="P130" s="13" t="s">
        <v>520</v>
      </c>
    </row>
    <row r="131" ht="22.5" customHeight="1">
      <c r="A131" s="13" t="s">
        <v>521</v>
      </c>
      <c r="B131" s="13" t="s">
        <v>55</v>
      </c>
      <c r="C131" s="13" t="s">
        <v>31</v>
      </c>
      <c r="D131" s="13" t="s">
        <v>64</v>
      </c>
      <c r="E131" s="13" t="s">
        <v>21</v>
      </c>
      <c r="F131" s="13" t="s">
        <v>60</v>
      </c>
      <c r="G131" s="13" t="s">
        <v>522</v>
      </c>
      <c r="H131" s="13" t="s">
        <v>24</v>
      </c>
      <c r="I131" s="13" t="s">
        <v>146</v>
      </c>
      <c r="J131" s="13" t="s">
        <v>67</v>
      </c>
      <c r="K131" s="13" t="s">
        <v>39</v>
      </c>
      <c r="L131" s="13">
        <v>0.0</v>
      </c>
      <c r="M131" s="13" t="s">
        <v>262</v>
      </c>
      <c r="N131" s="13" t="s">
        <v>30</v>
      </c>
      <c r="O131" s="13" t="s">
        <v>61</v>
      </c>
      <c r="P131" s="13">
        <v>19.0</v>
      </c>
    </row>
    <row r="132" ht="22.5" customHeight="1">
      <c r="A132" s="13" t="s">
        <v>523</v>
      </c>
      <c r="B132" s="13" t="s">
        <v>55</v>
      </c>
      <c r="C132" s="13" t="s">
        <v>31</v>
      </c>
      <c r="D132" s="13" t="s">
        <v>524</v>
      </c>
      <c r="E132" s="13" t="s">
        <v>200</v>
      </c>
      <c r="F132" s="13" t="s">
        <v>30</v>
      </c>
      <c r="G132" s="13" t="s">
        <v>525</v>
      </c>
      <c r="H132" s="13" t="s">
        <v>24</v>
      </c>
      <c r="I132" s="13" t="s">
        <v>247</v>
      </c>
      <c r="J132" s="13" t="s">
        <v>38</v>
      </c>
      <c r="K132" s="13" t="s">
        <v>39</v>
      </c>
      <c r="L132" s="13">
        <v>0.0</v>
      </c>
      <c r="M132" s="13" t="s">
        <v>526</v>
      </c>
      <c r="N132" s="13" t="s">
        <v>42</v>
      </c>
      <c r="O132" s="13" t="s">
        <v>43</v>
      </c>
      <c r="P132" s="13">
        <v>18.0</v>
      </c>
    </row>
    <row r="133" ht="22.5" customHeight="1">
      <c r="A133" s="13" t="s">
        <v>527</v>
      </c>
      <c r="B133" s="13" t="s">
        <v>55</v>
      </c>
      <c r="C133" s="13" t="s">
        <v>31</v>
      </c>
      <c r="D133" s="13" t="s">
        <v>20</v>
      </c>
      <c r="E133" s="13" t="s">
        <v>47</v>
      </c>
      <c r="F133" s="13" t="s">
        <v>60</v>
      </c>
      <c r="G133" s="13" t="s">
        <v>528</v>
      </c>
      <c r="H133" s="13" t="s">
        <v>24</v>
      </c>
      <c r="I133" s="13" t="s">
        <v>37</v>
      </c>
      <c r="J133" s="13" t="s">
        <v>38</v>
      </c>
      <c r="K133" s="13" t="s">
        <v>39</v>
      </c>
      <c r="L133" s="13" t="s">
        <v>40</v>
      </c>
      <c r="M133" s="13" t="s">
        <v>529</v>
      </c>
      <c r="N133" s="13" t="s">
        <v>52</v>
      </c>
      <c r="O133" s="13" t="s">
        <v>43</v>
      </c>
      <c r="P133" s="13">
        <v>19.0</v>
      </c>
    </row>
    <row r="134" ht="22.5" customHeight="1">
      <c r="A134" s="13" t="s">
        <v>530</v>
      </c>
      <c r="B134" s="13" t="s">
        <v>135</v>
      </c>
      <c r="C134" s="13" t="s">
        <v>31</v>
      </c>
      <c r="D134" s="13" t="s">
        <v>202</v>
      </c>
      <c r="E134" s="13" t="s">
        <v>21</v>
      </c>
      <c r="F134" s="13" t="s">
        <v>30</v>
      </c>
      <c r="G134" s="13" t="s">
        <v>500</v>
      </c>
      <c r="H134" s="13" t="s">
        <v>24</v>
      </c>
      <c r="I134" s="13" t="s">
        <v>531</v>
      </c>
      <c r="J134" s="13" t="s">
        <v>26</v>
      </c>
      <c r="K134" s="13" t="s">
        <v>50</v>
      </c>
      <c r="L134" s="14" t="s">
        <v>113</v>
      </c>
      <c r="M134" s="13" t="s">
        <v>532</v>
      </c>
      <c r="N134" s="13" t="s">
        <v>30</v>
      </c>
      <c r="O134" s="13" t="s">
        <v>43</v>
      </c>
      <c r="P134" s="13">
        <v>19.0</v>
      </c>
    </row>
    <row r="135" ht="22.5" customHeight="1">
      <c r="A135" s="13" t="s">
        <v>533</v>
      </c>
      <c r="B135" s="13" t="s">
        <v>534</v>
      </c>
      <c r="C135" s="14" t="s">
        <v>18</v>
      </c>
      <c r="D135" s="13" t="s">
        <v>189</v>
      </c>
      <c r="E135" s="13" t="s">
        <v>78</v>
      </c>
      <c r="F135" s="13" t="s">
        <v>30</v>
      </c>
      <c r="G135" s="13" t="s">
        <v>535</v>
      </c>
      <c r="H135" s="13" t="s">
        <v>36</v>
      </c>
      <c r="I135" s="13" t="s">
        <v>536</v>
      </c>
      <c r="J135" s="13" t="s">
        <v>67</v>
      </c>
      <c r="K135" s="13" t="s">
        <v>50</v>
      </c>
      <c r="L135" s="14" t="s">
        <v>113</v>
      </c>
      <c r="M135" s="13" t="s">
        <v>537</v>
      </c>
      <c r="N135" s="13" t="s">
        <v>60</v>
      </c>
      <c r="O135" s="13" t="s">
        <v>61</v>
      </c>
      <c r="P135" s="13">
        <v>20.0</v>
      </c>
    </row>
    <row r="136" ht="22.5" customHeight="1">
      <c r="A136" s="13" t="s">
        <v>538</v>
      </c>
      <c r="B136" s="13" t="s">
        <v>55</v>
      </c>
      <c r="C136" s="13" t="s">
        <v>31</v>
      </c>
      <c r="D136" s="13" t="s">
        <v>539</v>
      </c>
      <c r="E136" s="13" t="s">
        <v>21</v>
      </c>
      <c r="F136" s="13" t="s">
        <v>30</v>
      </c>
      <c r="G136" s="13" t="s">
        <v>540</v>
      </c>
      <c r="H136" s="13" t="s">
        <v>122</v>
      </c>
      <c r="I136" s="13" t="s">
        <v>541</v>
      </c>
      <c r="J136" s="13" t="s">
        <v>38</v>
      </c>
      <c r="K136" s="13" t="s">
        <v>50</v>
      </c>
      <c r="L136" s="14" t="s">
        <v>113</v>
      </c>
      <c r="M136" s="13" t="s">
        <v>165</v>
      </c>
      <c r="N136" s="13" t="s">
        <v>42</v>
      </c>
      <c r="O136" s="13" t="s">
        <v>43</v>
      </c>
      <c r="P136" s="13">
        <v>19.0</v>
      </c>
    </row>
    <row r="137" ht="22.5" customHeight="1">
      <c r="A137" s="13" t="s">
        <v>546</v>
      </c>
      <c r="B137" s="13" t="s">
        <v>151</v>
      </c>
      <c r="C137" s="13" t="s">
        <v>31</v>
      </c>
      <c r="D137" s="13" t="s">
        <v>33</v>
      </c>
      <c r="E137" s="13" t="s">
        <v>103</v>
      </c>
      <c r="F137" s="13" t="s">
        <v>30</v>
      </c>
      <c r="G137" s="13" t="s">
        <v>203</v>
      </c>
      <c r="H137" s="13" t="s">
        <v>36</v>
      </c>
      <c r="I137" s="13" t="s">
        <v>37</v>
      </c>
      <c r="J137" s="13" t="s">
        <v>67</v>
      </c>
      <c r="K137" s="13" t="s">
        <v>50</v>
      </c>
      <c r="L137" s="14" t="s">
        <v>113</v>
      </c>
      <c r="M137" s="13" t="s">
        <v>308</v>
      </c>
      <c r="N137" s="13" t="s">
        <v>30</v>
      </c>
      <c r="O137" s="13" t="s">
        <v>43</v>
      </c>
      <c r="P137" s="13">
        <v>18.0</v>
      </c>
    </row>
    <row r="138" ht="22.5" customHeight="1">
      <c r="A138" s="13" t="s">
        <v>551</v>
      </c>
      <c r="B138" s="13" t="s">
        <v>552</v>
      </c>
      <c r="C138" s="14" t="s">
        <v>18</v>
      </c>
      <c r="D138" s="13" t="s">
        <v>553</v>
      </c>
      <c r="E138" s="13" t="s">
        <v>34</v>
      </c>
      <c r="F138" s="13" t="s">
        <v>22</v>
      </c>
      <c r="G138" s="13" t="s">
        <v>405</v>
      </c>
      <c r="H138" s="13" t="s">
        <v>24</v>
      </c>
      <c r="I138" s="13" t="s">
        <v>123</v>
      </c>
      <c r="J138" s="13" t="s">
        <v>26</v>
      </c>
      <c r="K138" s="13" t="s">
        <v>50</v>
      </c>
      <c r="L138" s="14" t="s">
        <v>113</v>
      </c>
      <c r="M138" s="13" t="s">
        <v>554</v>
      </c>
      <c r="N138" s="13" t="s">
        <v>52</v>
      </c>
      <c r="O138" s="13" t="s">
        <v>61</v>
      </c>
      <c r="P138" s="13">
        <v>40.0</v>
      </c>
    </row>
    <row r="139" ht="22.5" customHeight="1">
      <c r="A139" s="13" t="s">
        <v>555</v>
      </c>
      <c r="B139" s="13" t="s">
        <v>556</v>
      </c>
      <c r="C139" s="14" t="s">
        <v>28</v>
      </c>
      <c r="D139" s="13" t="s">
        <v>158</v>
      </c>
      <c r="E139" s="13" t="s">
        <v>73</v>
      </c>
      <c r="F139" s="13" t="s">
        <v>30</v>
      </c>
      <c r="G139" s="13" t="s">
        <v>558</v>
      </c>
      <c r="H139" s="13" t="s">
        <v>24</v>
      </c>
      <c r="I139" s="13" t="s">
        <v>351</v>
      </c>
      <c r="J139" s="13" t="s">
        <v>26</v>
      </c>
      <c r="K139" s="13" t="s">
        <v>39</v>
      </c>
      <c r="L139" s="14" t="s">
        <v>28</v>
      </c>
      <c r="M139" s="13" t="s">
        <v>562</v>
      </c>
      <c r="N139" s="13" t="s">
        <v>30</v>
      </c>
      <c r="O139" s="13" t="s">
        <v>43</v>
      </c>
      <c r="P139" s="13">
        <v>20.0</v>
      </c>
    </row>
    <row r="140" ht="22.5" customHeight="1">
      <c r="A140" s="13" t="s">
        <v>563</v>
      </c>
      <c r="B140" s="13" t="s">
        <v>564</v>
      </c>
      <c r="C140" s="14" t="s">
        <v>28</v>
      </c>
      <c r="D140" s="13" t="s">
        <v>130</v>
      </c>
      <c r="E140" s="13" t="s">
        <v>78</v>
      </c>
      <c r="F140" s="13" t="s">
        <v>22</v>
      </c>
      <c r="G140" s="13" t="s">
        <v>565</v>
      </c>
      <c r="H140" s="13" t="s">
        <v>36</v>
      </c>
      <c r="I140" s="13" t="s">
        <v>496</v>
      </c>
      <c r="J140" s="13" t="s">
        <v>26</v>
      </c>
      <c r="K140" s="13" t="s">
        <v>107</v>
      </c>
      <c r="L140" s="14" t="s">
        <v>28</v>
      </c>
      <c r="M140" s="13" t="s">
        <v>568</v>
      </c>
      <c r="N140" s="13" t="s">
        <v>52</v>
      </c>
      <c r="O140" s="13" t="s">
        <v>43</v>
      </c>
      <c r="P140" s="13">
        <v>19.0</v>
      </c>
    </row>
    <row r="141" ht="22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tr">
        <f>IFERROR(__xludf.DUMMYFUNCTION("QUERY(ARRAYFORMULA(TRIM(FLATTEN(IFERROR(SPLIT(Sheet1!M2:M1000, "",""))))), ""select Col1, count(Col1) where Col1 is not null and Col1 &lt;&gt; '' group by Col1 order by count(Col1) desc label Col1 'Need', count(Col1) 'Count'"", 0)"),"Need")</f>
        <v>Need</v>
      </c>
      <c r="B1" s="18" t="str">
        <f>IFERROR(__xludf.DUMMYFUNCTION("""COMPUTED_VALUE"""),"Count")</f>
        <v>Count</v>
      </c>
    </row>
    <row r="2">
      <c r="A2" s="18" t="str">
        <f>IFERROR(__xludf.DUMMYFUNCTION("""COMPUTED_VALUE"""),"Study partner")</f>
        <v>Study partner</v>
      </c>
      <c r="B2" s="18">
        <f>IFERROR(__xludf.DUMMYFUNCTION("""COMPUTED_VALUE"""),56.0)</f>
        <v>56</v>
      </c>
    </row>
    <row r="3">
      <c r="A3" s="18" t="str">
        <f>IFERROR(__xludf.DUMMYFUNCTION("""COMPUTED_VALUE"""),"Someone to play a sport with")</f>
        <v>Someone to play a sport with</v>
      </c>
      <c r="B3" s="18">
        <f>IFERROR(__xludf.DUMMYFUNCTION("""COMPUTED_VALUE"""),55.0)</f>
        <v>55</v>
      </c>
    </row>
    <row r="4">
      <c r="A4" s="18" t="str">
        <f>IFERROR(__xludf.DUMMYFUNCTION("""COMPUTED_VALUE"""),"Someone with the same hobby")</f>
        <v>Someone with the same hobby</v>
      </c>
      <c r="B4" s="18">
        <f>IFERROR(__xludf.DUMMYFUNCTION("""COMPUTED_VALUE"""),53.0)</f>
        <v>53</v>
      </c>
    </row>
    <row r="5">
      <c r="A5" s="18" t="str">
        <f>IFERROR(__xludf.DUMMYFUNCTION("""COMPUTED_VALUE"""),"A project or hackathon teammate")</f>
        <v>A project or hackathon teammate</v>
      </c>
      <c r="B5" s="18">
        <f>IFERROR(__xludf.DUMMYFUNCTION("""COMPUTED_VALUE"""),49.0)</f>
        <v>49</v>
      </c>
    </row>
    <row r="6">
      <c r="A6" s="18" t="str">
        <f>IFERROR(__xludf.DUMMYFUNCTION("""COMPUTED_VALUE"""),"Someone to attend an event or movie with")</f>
        <v>Someone to attend an event or movie with</v>
      </c>
      <c r="B6" s="18">
        <f>IFERROR(__xludf.DUMMYFUNCTION("""COMPUTED_VALUE"""),46.0)</f>
        <v>46</v>
      </c>
    </row>
    <row r="7">
      <c r="A7" s="18" t="str">
        <f>IFERROR(__xludf.DUMMYFUNCTION("""COMPUTED_VALUE"""),"A mentor or senior")</f>
        <v>A mentor or senior</v>
      </c>
      <c r="B7" s="18">
        <f>IFERROR(__xludf.DUMMYFUNCTION("""COMPUTED_VALUE"""),45.0)</f>
        <v>45</v>
      </c>
    </row>
    <row r="8">
      <c r="A8" s="18" t="str">
        <f>IFERROR(__xludf.DUMMYFUNCTION("""COMPUTED_VALUE"""),"Gym or workout partner")</f>
        <v>Gym or workout partner</v>
      </c>
      <c r="B8" s="18">
        <f>IFERROR(__xludf.DUMMYFUNCTION("""COMPUTED_VALUE"""),39.0)</f>
        <v>39</v>
      </c>
    </row>
    <row r="9">
      <c r="A9" s="18" t="str">
        <f>IFERROR(__xludf.DUMMYFUNCTION("""COMPUTED_VALUE"""),"Eating out")</f>
        <v>Eating out</v>
      </c>
      <c r="B9" s="18">
        <f>IFERROR(__xludf.DUMMYFUNCTION("""COMPUTED_VALUE"""),35.0)</f>
        <v>35</v>
      </c>
    </row>
    <row r="10">
      <c r="A10" s="18" t="str">
        <f>IFERROR(__xludf.DUMMYFUNCTION("""COMPUTED_VALUE"""),"I dont know")</f>
        <v>I dont know</v>
      </c>
      <c r="B10" s="18">
        <f>IFERROR(__xludf.DUMMYFUNCTION("""COMPUTED_VALUE"""),2.0)</f>
        <v>2</v>
      </c>
    </row>
    <row r="11">
      <c r="A11" s="18" t="str">
        <f>IFERROR(__xludf.DUMMYFUNCTION("""COMPUTED_VALUE"""),"Aapka loan approve hogaya hai")</f>
        <v>Aapka loan approve hogaya hai</v>
      </c>
      <c r="B11" s="18">
        <f>IFERROR(__xludf.DUMMYFUNCTION("""COMPUTED_VALUE"""),1.0)</f>
        <v>1</v>
      </c>
    </row>
    <row r="12">
      <c r="A12" s="18" t="str">
        <f>IFERROR(__xludf.DUMMYFUNCTION("""COMPUTED_VALUE"""),"Koi Sonam se mila do yaar")</f>
        <v>Koi Sonam se mila do yaar</v>
      </c>
      <c r="B12" s="18">
        <f>IFERROR(__xludf.DUMMYFUNCTION("""COMPUTED_VALUE"""),1.0)</f>
        <v>1</v>
      </c>
    </row>
    <row r="13">
      <c r="A13" s="18" t="str">
        <f>IFERROR(__xludf.DUMMYFUNCTION("""COMPUTED_VALUE"""),"None")</f>
        <v>None</v>
      </c>
      <c r="B13" s="18">
        <f>IFERROR(__xludf.DUMMYFUNCTION("""COMPUTED_VALUE"""),1.0)</f>
        <v>1</v>
      </c>
    </row>
    <row r="14">
      <c r="A14" s="18" t="str">
        <f>IFERROR(__xludf.DUMMYFUNCTION("""COMPUTED_VALUE"""),"Startup idea")</f>
        <v>Startup idea</v>
      </c>
      <c r="B14" s="18">
        <f>IFERROR(__xludf.DUMMYFUNCTION("""COMPUTED_VALUE"""),1.0)</f>
        <v>1</v>
      </c>
    </row>
    <row r="15">
      <c r="A15" s="18" t="str">
        <f>IFERROR(__xludf.DUMMYFUNCTION("""COMPUTED_VALUE"""),"To help in tasks")</f>
        <v>To help in tasks</v>
      </c>
      <c r="B15" s="18">
        <f>IFERROR(__xludf.DUMMYFUNCTION("""COMPUTED_VALUE"""),1.0)</f>
        <v>1</v>
      </c>
    </row>
    <row r="16">
      <c r="A16" s="18" t="str">
        <f>IFERROR(__xludf.DUMMYFUNCTION("""COMPUTED_VALUE"""),"Wangchuk ne maa no")</f>
        <v>Wangchuk ne maa no</v>
      </c>
      <c r="B16" s="18">
        <f>IFERROR(__xludf.DUMMYFUNCTION("""COMPUTED_VALUE"""),1.0)</f>
        <v>1</v>
      </c>
    </row>
  </sheetData>
  <drawing r:id="rId1"/>
</worksheet>
</file>